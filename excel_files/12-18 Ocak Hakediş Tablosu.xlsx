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rt1\OneDrive\Masaüstü\HAKEDİŞLER\"/>
    </mc:Choice>
  </mc:AlternateContent>
  <xr:revisionPtr revIDLastSave="0" documentId="13_ncr:1_{CF68EE96-EDBB-419F-92E2-05E91922D5C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5-11 Ocak Hakediş" sheetId="1" r:id="rId1"/>
  </sheets>
  <calcPr calcId="191029"/>
</workbook>
</file>

<file path=xl/calcChain.xml><?xml version="1.0" encoding="utf-8"?>
<calcChain xmlns="http://schemas.openxmlformats.org/spreadsheetml/2006/main">
  <c r="X108" i="1" l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<sst xmlns="http://schemas.openxmlformats.org/spreadsheetml/2006/main" count="238" uniqueCount="162">
  <si>
    <t>Ad-Soyad</t>
  </si>
  <si>
    <t>Bölge</t>
  </si>
  <si>
    <t>Pickup</t>
  </si>
  <si>
    <t>Dropoff</t>
  </si>
  <si>
    <t>Pickup Tutar</t>
  </si>
  <si>
    <t>Dropoff Tutar</t>
  </si>
  <si>
    <t>Mesafe Tutarı</t>
  </si>
  <si>
    <t>Garanti Bölge Tutarı</t>
  </si>
  <si>
    <t>Bölge Kampanya Tutarı</t>
  </si>
  <si>
    <t>Haftalık Ek Paket Tutarı</t>
  </si>
  <si>
    <t>Hakediş Zam Ödemesi</t>
  </si>
  <si>
    <t>Bahşiş Tutar</t>
  </si>
  <si>
    <t>Toplam Hakediş</t>
  </si>
  <si>
    <t>Tevkifat Tutar</t>
  </si>
  <si>
    <t>Nakit</t>
  </si>
  <si>
    <t>Kredi Kartı</t>
  </si>
  <si>
    <t>Sigorta Kesintisi</t>
  </si>
  <si>
    <t>Ssk, İş Güvenlik Kesintisi</t>
  </si>
  <si>
    <t>Saha Kesintileri</t>
  </si>
  <si>
    <t>Ekipman Kesintisi</t>
  </si>
  <si>
    <t>Toplam Kesinti Tutarı</t>
  </si>
  <si>
    <t>İade Edilmesi Gereken Maaş Tutarı</t>
  </si>
  <si>
    <t>Yemeksepeti İade</t>
  </si>
  <si>
    <t>Ödenecek Tutar</t>
  </si>
  <si>
    <t>Yusuf Mustafa Kocakuş</t>
  </si>
  <si>
    <t>Afyon</t>
  </si>
  <si>
    <t>MUHAMMED FETHULLAH BALCIOĞLU</t>
  </si>
  <si>
    <t>Beyhekim</t>
  </si>
  <si>
    <t>Enes Bal</t>
  </si>
  <si>
    <t>Fatih</t>
  </si>
  <si>
    <t>Deniz Özmen</t>
  </si>
  <si>
    <t>Bayrampasa</t>
  </si>
  <si>
    <t>Sude Nur Keleş</t>
  </si>
  <si>
    <t>Gulistan</t>
  </si>
  <si>
    <t>Yiğit Baran Mecan</t>
  </si>
  <si>
    <t>Bahcesehir</t>
  </si>
  <si>
    <t>Mertcan Alkan</t>
  </si>
  <si>
    <t>Muhammed Enes Dilman</t>
  </si>
  <si>
    <t>Etimesgut</t>
  </si>
  <si>
    <t>Emirhan Taşkıran</t>
  </si>
  <si>
    <t>Kecioren</t>
  </si>
  <si>
    <t>Ahmet Yusuf Yetimler</t>
  </si>
  <si>
    <t>Kusadasi</t>
  </si>
  <si>
    <t>Savaş Kaya</t>
  </si>
  <si>
    <t>Yiğit Turumtay</t>
  </si>
  <si>
    <t>Beylikdüzü</t>
  </si>
  <si>
    <t>Koray Mutlu</t>
  </si>
  <si>
    <t>Kadikoy</t>
  </si>
  <si>
    <t>Cihan Akkuş</t>
  </si>
  <si>
    <t>Izmit</t>
  </si>
  <si>
    <t>İbrahim İlhan</t>
  </si>
  <si>
    <t>Pendik</t>
  </si>
  <si>
    <t>Volkan Er</t>
  </si>
  <si>
    <t>Numan Ogün Yerli</t>
  </si>
  <si>
    <t>Maden</t>
  </si>
  <si>
    <t>Onur Hazar</t>
  </si>
  <si>
    <t>Konak</t>
  </si>
  <si>
    <t>Emirhan Eğilmez</t>
  </si>
  <si>
    <t>Elanur Gül</t>
  </si>
  <si>
    <t>Bahcelievler</t>
  </si>
  <si>
    <t>Berkay Gökgöz</t>
  </si>
  <si>
    <t>Safranbolu</t>
  </si>
  <si>
    <t>Tarık Bulut</t>
  </si>
  <si>
    <t>Kayseri</t>
  </si>
  <si>
    <t>Ahmet Güllü</t>
  </si>
  <si>
    <t>Selcuklu</t>
  </si>
  <si>
    <t>Yusuf Ceylan</t>
  </si>
  <si>
    <t>Mustafa Paşa</t>
  </si>
  <si>
    <t>Efeler</t>
  </si>
  <si>
    <t>Yusuf Balyemez</t>
  </si>
  <si>
    <t>Samet Türk</t>
  </si>
  <si>
    <t>Hasan Irmak</t>
  </si>
  <si>
    <t>Kartalcumhuriyet</t>
  </si>
  <si>
    <t>Musap Gökalp</t>
  </si>
  <si>
    <t>Alper Altunbaş</t>
  </si>
  <si>
    <t>Mehmet Emin Gerçekler</t>
  </si>
  <si>
    <t>İhsan Albayrak</t>
  </si>
  <si>
    <t>Salih Güllü</t>
  </si>
  <si>
    <t>Mehmet Üner</t>
  </si>
  <si>
    <t>Anıl Taha Karakaya</t>
  </si>
  <si>
    <t>Bolu</t>
  </si>
  <si>
    <t>Harun Gülen</t>
  </si>
  <si>
    <t>Alper Cem Öktem</t>
  </si>
  <si>
    <t>Turgay Kumuş</t>
  </si>
  <si>
    <t>Berat Bal</t>
  </si>
  <si>
    <t>Ufuk Tekin</t>
  </si>
  <si>
    <t>Yunus Çodar</t>
  </si>
  <si>
    <t>Furkat Matyakubow</t>
  </si>
  <si>
    <t>Ahmet Tasbeş</t>
  </si>
  <si>
    <t>Ferhat Ay</t>
  </si>
  <si>
    <t>Yusuf Doğan</t>
  </si>
  <si>
    <t>Ali Eren Pütün</t>
  </si>
  <si>
    <t>Mustafa Burak Yaban</t>
  </si>
  <si>
    <t>Emre Meriç</t>
  </si>
  <si>
    <t>Besiktas</t>
  </si>
  <si>
    <t>Musa Bor</t>
  </si>
  <si>
    <t>Muhammed Karakaya</t>
  </si>
  <si>
    <t>Ahmet Aslan</t>
  </si>
  <si>
    <t>Cerkezkoy</t>
  </si>
  <si>
    <t>Coşkun Yeşilyurt</t>
  </si>
  <si>
    <t>Muhammed Salih</t>
  </si>
  <si>
    <t>Samet Akdağ</t>
  </si>
  <si>
    <t>Maltepe</t>
  </si>
  <si>
    <t>Seyfullah Orabi</t>
  </si>
  <si>
    <t>Selim Köysü</t>
  </si>
  <si>
    <t>Okay Yalvaç</t>
  </si>
  <si>
    <t>Ömer Tan</t>
  </si>
  <si>
    <t>Muhammed Avcu</t>
  </si>
  <si>
    <t>Fatih Güler</t>
  </si>
  <si>
    <t>Kucukcekmece</t>
  </si>
  <si>
    <t>Mertcan Güler</t>
  </si>
  <si>
    <t>Emre Çağlar</t>
  </si>
  <si>
    <t>Bornova</t>
  </si>
  <si>
    <t>Mustafa Erim</t>
  </si>
  <si>
    <t>Ebubekir Adırbelli</t>
  </si>
  <si>
    <t>Vardan Tekirdağ</t>
  </si>
  <si>
    <t>İbrahim Göntürk</t>
  </si>
  <si>
    <t>Karsiyaka</t>
  </si>
  <si>
    <t>Hamza Gündoğdu</t>
  </si>
  <si>
    <t>Mustafa Abay</t>
  </si>
  <si>
    <t>Eyyüp Köysü</t>
  </si>
  <si>
    <t>Mustafa Fırat Seyitoğlu</t>
  </si>
  <si>
    <t>Ömer Yılmaz</t>
  </si>
  <si>
    <t>Esat</t>
  </si>
  <si>
    <t>Hasan Abid Elhamid</t>
  </si>
  <si>
    <t>İsmail Ege Badem</t>
  </si>
  <si>
    <t>İsmail Arpa</t>
  </si>
  <si>
    <t>Talha Dağ</t>
  </si>
  <si>
    <t>Bahtiyar Gazi</t>
  </si>
  <si>
    <t>Yasin Başdost</t>
  </si>
  <si>
    <t>Furkan İkinci</t>
  </si>
  <si>
    <t>Oğuzhan Bayşu</t>
  </si>
  <si>
    <t>Tamer Demiroğlu</t>
  </si>
  <si>
    <t>Ahmet Kornaz</t>
  </si>
  <si>
    <t>Taner Çam</t>
  </si>
  <si>
    <t>Murat Paşa Kaya</t>
  </si>
  <si>
    <t>Tuzla</t>
  </si>
  <si>
    <t>Yaşar Öztürk</t>
  </si>
  <si>
    <t>İshak Hakkı Solakay</t>
  </si>
  <si>
    <t>Fatih Türkmen</t>
  </si>
  <si>
    <t>Halil İbrahim Başaran</t>
  </si>
  <si>
    <t>Emincan Alan</t>
  </si>
  <si>
    <t>Berkay İhsan Yavuz</t>
  </si>
  <si>
    <t>Arif Keskin Kaya</t>
  </si>
  <si>
    <t>Luleburgaz</t>
  </si>
  <si>
    <t>Deniz Çelik</t>
  </si>
  <si>
    <t>Eren Çırak</t>
  </si>
  <si>
    <t>Gumbet</t>
  </si>
  <si>
    <t>Burak Resul Ceyhan</t>
  </si>
  <si>
    <t>Davut Topbaş</t>
  </si>
  <si>
    <t>Mevlüt Kesercioğlu</t>
  </si>
  <si>
    <t>Halil İbrahim Seyrek</t>
  </si>
  <si>
    <t>İbrahim Can Vural</t>
  </si>
  <si>
    <t>Hacı Resul Gümüş</t>
  </si>
  <si>
    <t>Gaziemir</t>
  </si>
  <si>
    <t>Yusuf Aydın</t>
  </si>
  <si>
    <t>Onur Irmak</t>
  </si>
  <si>
    <t>Arda Irmak</t>
  </si>
  <si>
    <t>Sami Özcanan</t>
  </si>
  <si>
    <t>Mehmet Erdoğmuş</t>
  </si>
  <si>
    <t>Mutlu Atasever</t>
  </si>
  <si>
    <t>Mustafa Kıvrakdal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</si>
</sst>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9"/>
      <color theme="1"/>
      <name val="Calibri"/>
    </font>
    <font>
      <sz val="9"/>
      <color rgb="FF000000"/>
      <name val="Calibri"/>
    </font>
    <font>
      <sz val="10"/>
      <color rgb="FF000000"/>
      <name val="Calibri"/>
    </font>
    <font>
      <sz val="9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theme="7"/>
        <bgColor theme="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" fontId="3" fillId="3" borderId="2" xfId="0" applyNumberFormat="1" applyFont="1" applyFill="1" applyBorder="1" applyAlignment="1">
      <alignment horizontal="center"/>
    </xf>
    <xf numFmtId="4" fontId="3" fillId="4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4" fontId="3" fillId="5" borderId="2" xfId="0" applyNumberFormat="1" applyFont="1" applyFill="1" applyBorder="1" applyAlignment="1">
      <alignment horizontal="center"/>
    </xf>
    <xf numFmtId="4" fontId="3" fillId="6" borderId="2" xfId="0" applyNumberFormat="1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3" fontId="3" fillId="5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4" fontId="3" fillId="5" borderId="3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79"/>
  <sheetViews>
    <sheetView tabSelected="1" topLeftCell="A61" zoomScale="70" zoomScaleNormal="70" workbookViewId="0">
      <selection activeCell="A107" sqref="A107:XFD107"/>
    </sheetView>
  </sheetViews>
  <sheetFormatPr defaultColWidth="12.6328125" defaultRowHeight="15.75" customHeight="1" x14ac:dyDescent="0.25"/>
  <cols>
    <col min="1" max="1" width="27.08984375" customWidth="1"/>
    <col min="2" max="2" width="14.36328125" customWidth="1"/>
    <col min="3" max="4" width="9.26953125" customWidth="1"/>
    <col min="5" max="6" width="10.7265625" customWidth="1"/>
    <col min="7" max="7" width="11.36328125" customWidth="1"/>
    <col min="8" max="8" width="11.08984375" customWidth="1"/>
    <col min="9" max="11" width="13" customWidth="1"/>
    <col min="13" max="13" width="11.90625" customWidth="1"/>
    <col min="14" max="14" width="12.26953125" customWidth="1"/>
    <col min="15" max="15" width="11.453125" customWidth="1"/>
    <col min="16" max="16" width="11.6328125" customWidth="1"/>
    <col min="19" max="22" width="13.6328125" customWidth="1"/>
  </cols>
  <sheetData>
    <row r="1" spans="1:24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8" customHeight="1" x14ac:dyDescent="0.3">
      <c r="A2" s="2" t="s">
        <v>24</v>
      </c>
      <c r="B2" s="3" t="s">
        <v>25</v>
      </c>
      <c r="C2" s="3">
        <v>3</v>
      </c>
      <c r="D2" s="3">
        <v>5</v>
      </c>
      <c r="E2" s="4">
        <v>85.8</v>
      </c>
      <c r="F2" s="4">
        <v>114.95</v>
      </c>
      <c r="G2" s="4">
        <v>111.47</v>
      </c>
      <c r="H2" s="4">
        <v>0</v>
      </c>
      <c r="I2" s="3">
        <v>0</v>
      </c>
      <c r="J2" s="4">
        <v>0</v>
      </c>
      <c r="K2" s="4">
        <v>258.16000000000003</v>
      </c>
      <c r="L2" s="3">
        <v>0</v>
      </c>
      <c r="M2" s="4">
        <v>570.38</v>
      </c>
      <c r="N2" s="4">
        <v>22.82</v>
      </c>
      <c r="O2" s="4">
        <v>1081.97</v>
      </c>
      <c r="P2" s="4">
        <v>457.99</v>
      </c>
      <c r="Q2" s="3">
        <v>96.04</v>
      </c>
      <c r="R2" s="4">
        <v>0</v>
      </c>
      <c r="S2" s="3">
        <v>0</v>
      </c>
      <c r="T2" s="4">
        <v>0</v>
      </c>
      <c r="U2" s="4">
        <v>1636</v>
      </c>
      <c r="V2" s="4">
        <v>0</v>
      </c>
      <c r="W2" s="4">
        <v>200</v>
      </c>
      <c r="X2" s="5">
        <f t="shared" ref="X2:X106" si="0">(M2)-(U2)-(N2)-(R2)-(V2)-(T2)+(W2)</f>
        <v>-888.43999999999983</v>
      </c>
    </row>
    <row r="3" spans="1:24" ht="16.5" customHeight="1" x14ac:dyDescent="0.3">
      <c r="A3" s="2" t="s">
        <v>26</v>
      </c>
      <c r="B3" s="3" t="s">
        <v>27</v>
      </c>
      <c r="C3" s="3">
        <v>5</v>
      </c>
      <c r="D3" s="3">
        <v>6</v>
      </c>
      <c r="E3" s="4">
        <v>180.55</v>
      </c>
      <c r="F3" s="4">
        <v>248.4</v>
      </c>
      <c r="G3" s="4">
        <v>162.76</v>
      </c>
      <c r="H3" s="3">
        <v>0</v>
      </c>
      <c r="I3" s="3">
        <v>0</v>
      </c>
      <c r="J3" s="4">
        <v>0</v>
      </c>
      <c r="K3" s="4">
        <v>0</v>
      </c>
      <c r="L3" s="3">
        <v>0</v>
      </c>
      <c r="M3" s="4">
        <v>591.71</v>
      </c>
      <c r="N3" s="4">
        <v>23.67</v>
      </c>
      <c r="O3" s="4">
        <v>571.84</v>
      </c>
      <c r="P3" s="4">
        <v>763.99</v>
      </c>
      <c r="Q3" s="3">
        <v>0</v>
      </c>
      <c r="R3" s="4">
        <v>0</v>
      </c>
      <c r="S3" s="3">
        <v>0</v>
      </c>
      <c r="T3" s="4">
        <v>0</v>
      </c>
      <c r="U3" s="4">
        <v>1335.83</v>
      </c>
      <c r="V3" s="4">
        <v>0</v>
      </c>
      <c r="W3" s="4">
        <v>0</v>
      </c>
      <c r="X3" s="5">
        <f t="shared" si="0"/>
        <v>-767.78999999999985</v>
      </c>
    </row>
    <row r="4" spans="1:24" ht="16.5" customHeight="1" x14ac:dyDescent="0.3">
      <c r="A4" s="6" t="s">
        <v>28</v>
      </c>
      <c r="B4" s="7" t="s">
        <v>29</v>
      </c>
      <c r="C4" s="7">
        <v>16</v>
      </c>
      <c r="D4" s="7">
        <v>23</v>
      </c>
      <c r="E4" s="8">
        <v>620.53</v>
      </c>
      <c r="F4" s="8">
        <v>997.88</v>
      </c>
      <c r="G4" s="8">
        <v>508.83</v>
      </c>
      <c r="H4" s="7">
        <v>0</v>
      </c>
      <c r="I4" s="7">
        <v>0</v>
      </c>
      <c r="J4" s="7">
        <v>0</v>
      </c>
      <c r="K4" s="7">
        <v>270.89</v>
      </c>
      <c r="L4" s="7">
        <v>0</v>
      </c>
      <c r="M4" s="8">
        <v>2398.13</v>
      </c>
      <c r="N4" s="7">
        <v>95.93</v>
      </c>
      <c r="O4" s="8">
        <v>3252.21</v>
      </c>
      <c r="P4" s="8">
        <v>0</v>
      </c>
      <c r="Q4" s="7">
        <v>96.04</v>
      </c>
      <c r="R4" s="7">
        <v>0</v>
      </c>
      <c r="S4" s="7">
        <v>0</v>
      </c>
      <c r="T4" s="7">
        <v>0</v>
      </c>
      <c r="U4" s="8">
        <v>3348.25</v>
      </c>
      <c r="V4" s="7">
        <v>0</v>
      </c>
      <c r="W4" s="8">
        <v>0</v>
      </c>
      <c r="X4" s="5">
        <f t="shared" si="0"/>
        <v>-1046.05</v>
      </c>
    </row>
    <row r="5" spans="1:24" ht="13" x14ac:dyDescent="0.3">
      <c r="A5" s="2" t="s">
        <v>30</v>
      </c>
      <c r="B5" s="3" t="s">
        <v>31</v>
      </c>
      <c r="C5" s="3">
        <v>32</v>
      </c>
      <c r="D5" s="3">
        <v>42</v>
      </c>
      <c r="E5" s="4">
        <v>1227.5999999999999</v>
      </c>
      <c r="F5" s="4">
        <v>1794</v>
      </c>
      <c r="G5" s="4">
        <v>900.08</v>
      </c>
      <c r="H5" s="3">
        <v>0</v>
      </c>
      <c r="I5" s="3">
        <v>0</v>
      </c>
      <c r="J5" s="4">
        <v>0</v>
      </c>
      <c r="K5" s="4">
        <v>30.92</v>
      </c>
      <c r="L5" s="3">
        <v>25</v>
      </c>
      <c r="M5" s="4">
        <v>3977.6</v>
      </c>
      <c r="N5" s="3">
        <v>159.1</v>
      </c>
      <c r="O5" s="4">
        <v>2723.52</v>
      </c>
      <c r="P5" s="4">
        <v>2199.98</v>
      </c>
      <c r="Q5" s="3">
        <v>0</v>
      </c>
      <c r="R5" s="4">
        <v>0</v>
      </c>
      <c r="S5" s="3">
        <v>0</v>
      </c>
      <c r="T5" s="4">
        <v>0</v>
      </c>
      <c r="U5" s="4">
        <v>4923.5</v>
      </c>
      <c r="V5" s="4">
        <v>0</v>
      </c>
      <c r="W5" s="4">
        <v>0</v>
      </c>
      <c r="X5" s="5">
        <f t="shared" si="0"/>
        <v>-1105</v>
      </c>
    </row>
    <row r="6" spans="1:24" ht="15" customHeight="1" x14ac:dyDescent="0.3">
      <c r="A6" s="2" t="s">
        <v>32</v>
      </c>
      <c r="B6" s="3" t="s">
        <v>33</v>
      </c>
      <c r="C6" s="3">
        <v>4</v>
      </c>
      <c r="D6" s="3">
        <v>4</v>
      </c>
      <c r="E6" s="4">
        <v>112.23</v>
      </c>
      <c r="F6" s="4">
        <v>126.42</v>
      </c>
      <c r="G6" s="4">
        <v>119.79</v>
      </c>
      <c r="H6" s="4">
        <v>0</v>
      </c>
      <c r="I6" s="3">
        <v>0</v>
      </c>
      <c r="J6" s="4">
        <v>0</v>
      </c>
      <c r="K6" s="4">
        <v>0</v>
      </c>
      <c r="L6" s="3">
        <v>0</v>
      </c>
      <c r="M6" s="4">
        <v>358.44</v>
      </c>
      <c r="N6" s="3">
        <v>14.34</v>
      </c>
      <c r="O6" s="4">
        <v>569.99</v>
      </c>
      <c r="P6" s="4">
        <v>0</v>
      </c>
      <c r="Q6" s="3">
        <v>96.04</v>
      </c>
      <c r="R6" s="4">
        <v>0</v>
      </c>
      <c r="S6" s="3">
        <v>0</v>
      </c>
      <c r="T6" s="4">
        <v>0</v>
      </c>
      <c r="U6" s="4">
        <v>666.03</v>
      </c>
      <c r="V6" s="4">
        <v>0</v>
      </c>
      <c r="W6" s="4">
        <v>0</v>
      </c>
      <c r="X6" s="5">
        <f t="shared" si="0"/>
        <v>-321.92999999999995</v>
      </c>
    </row>
    <row r="7" spans="1:24" ht="13" x14ac:dyDescent="0.3">
      <c r="A7" s="2" t="s">
        <v>34</v>
      </c>
      <c r="B7" s="3" t="s">
        <v>35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4">
        <v>0</v>
      </c>
      <c r="I7" s="3">
        <v>0</v>
      </c>
      <c r="J7" s="4">
        <v>0</v>
      </c>
      <c r="K7" s="4">
        <v>11.5</v>
      </c>
      <c r="L7" s="3">
        <v>0</v>
      </c>
      <c r="M7" s="4">
        <v>11.5</v>
      </c>
      <c r="N7" s="4">
        <v>0.46</v>
      </c>
      <c r="O7" s="4">
        <v>0</v>
      </c>
      <c r="P7" s="4">
        <v>0</v>
      </c>
      <c r="Q7" s="3">
        <v>0</v>
      </c>
      <c r="R7" s="4">
        <v>500</v>
      </c>
      <c r="S7" s="3">
        <v>0</v>
      </c>
      <c r="T7" s="4">
        <v>0</v>
      </c>
      <c r="U7" s="4">
        <v>0</v>
      </c>
      <c r="V7" s="4">
        <v>935</v>
      </c>
      <c r="W7" s="4">
        <v>0</v>
      </c>
      <c r="X7" s="5">
        <f t="shared" si="0"/>
        <v>-1423.96</v>
      </c>
    </row>
    <row r="8" spans="1:24" ht="13" x14ac:dyDescent="0.3">
      <c r="A8" s="2" t="s">
        <v>36</v>
      </c>
      <c r="B8" s="3" t="s">
        <v>31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3">
        <v>0</v>
      </c>
      <c r="J8" s="4">
        <v>0</v>
      </c>
      <c r="K8" s="4">
        <v>14.84</v>
      </c>
      <c r="L8" s="3">
        <v>0</v>
      </c>
      <c r="M8" s="4">
        <v>14.84</v>
      </c>
      <c r="N8" s="4">
        <v>0.59</v>
      </c>
      <c r="O8" s="4">
        <v>0</v>
      </c>
      <c r="P8" s="4">
        <v>0</v>
      </c>
      <c r="Q8" s="3">
        <v>0</v>
      </c>
      <c r="R8" s="4">
        <v>0</v>
      </c>
      <c r="S8" s="3">
        <v>0</v>
      </c>
      <c r="T8" s="4">
        <v>0</v>
      </c>
      <c r="U8" s="4">
        <v>0</v>
      </c>
      <c r="V8" s="4">
        <v>0</v>
      </c>
      <c r="W8" s="4">
        <v>0</v>
      </c>
      <c r="X8" s="9">
        <f t="shared" si="0"/>
        <v>14.25</v>
      </c>
    </row>
    <row r="9" spans="1:24" ht="13" x14ac:dyDescent="0.3">
      <c r="A9" s="2" t="s">
        <v>37</v>
      </c>
      <c r="B9" s="3" t="s">
        <v>38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3">
        <v>0</v>
      </c>
      <c r="I9" s="3">
        <v>0</v>
      </c>
      <c r="J9" s="4">
        <v>0</v>
      </c>
      <c r="K9" s="4">
        <v>44.34</v>
      </c>
      <c r="L9" s="3">
        <v>0</v>
      </c>
      <c r="M9" s="4">
        <v>44.34</v>
      </c>
      <c r="N9" s="3">
        <v>1.77</v>
      </c>
      <c r="O9" s="4">
        <v>0</v>
      </c>
      <c r="P9" s="4">
        <v>0</v>
      </c>
      <c r="Q9" s="3">
        <v>0</v>
      </c>
      <c r="R9" s="4">
        <v>0</v>
      </c>
      <c r="S9" s="3">
        <v>0</v>
      </c>
      <c r="T9" s="4">
        <v>0</v>
      </c>
      <c r="U9" s="4">
        <v>0</v>
      </c>
      <c r="V9" s="4">
        <v>0</v>
      </c>
      <c r="W9" s="3">
        <v>0</v>
      </c>
      <c r="X9" s="9">
        <f t="shared" si="0"/>
        <v>42.57</v>
      </c>
    </row>
    <row r="10" spans="1:24" ht="13" x14ac:dyDescent="0.3">
      <c r="A10" s="2" t="s">
        <v>39</v>
      </c>
      <c r="B10" s="3" t="s">
        <v>40</v>
      </c>
      <c r="C10" s="3">
        <v>12</v>
      </c>
      <c r="D10" s="3">
        <v>15</v>
      </c>
      <c r="E10" s="4">
        <v>382.5</v>
      </c>
      <c r="F10" s="4">
        <v>519.48</v>
      </c>
      <c r="G10" s="4">
        <v>328.02</v>
      </c>
      <c r="H10" s="4">
        <v>0</v>
      </c>
      <c r="I10" s="4">
        <v>0</v>
      </c>
      <c r="J10" s="4">
        <v>0</v>
      </c>
      <c r="K10" s="4">
        <v>0</v>
      </c>
      <c r="L10" s="3">
        <v>0</v>
      </c>
      <c r="M10" s="4">
        <v>1230</v>
      </c>
      <c r="N10" s="3">
        <v>49.2</v>
      </c>
      <c r="O10" s="4">
        <v>1350.99</v>
      </c>
      <c r="P10" s="4">
        <v>0</v>
      </c>
      <c r="Q10" s="3">
        <v>0</v>
      </c>
      <c r="R10" s="4">
        <v>0</v>
      </c>
      <c r="S10" s="3">
        <v>0</v>
      </c>
      <c r="T10" s="4">
        <v>0</v>
      </c>
      <c r="U10" s="4">
        <v>1350.99</v>
      </c>
      <c r="V10" s="4">
        <v>0</v>
      </c>
      <c r="W10" s="4">
        <v>0</v>
      </c>
      <c r="X10" s="5">
        <f t="shared" si="0"/>
        <v>-170.19</v>
      </c>
    </row>
    <row r="11" spans="1:24" ht="13" x14ac:dyDescent="0.3">
      <c r="A11" s="2" t="s">
        <v>41</v>
      </c>
      <c r="B11" s="10" t="s">
        <v>42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3">
        <v>0</v>
      </c>
      <c r="J11" s="3">
        <v>0</v>
      </c>
      <c r="K11" s="3">
        <v>74.89</v>
      </c>
      <c r="L11" s="3">
        <v>0</v>
      </c>
      <c r="M11" s="4">
        <v>74.89</v>
      </c>
      <c r="N11" s="3">
        <v>3</v>
      </c>
      <c r="O11" s="4">
        <v>0</v>
      </c>
      <c r="P11" s="4">
        <v>0</v>
      </c>
      <c r="Q11" s="3">
        <v>0</v>
      </c>
      <c r="R11" s="3">
        <v>0</v>
      </c>
      <c r="S11" s="3">
        <v>0</v>
      </c>
      <c r="T11" s="3">
        <v>0</v>
      </c>
      <c r="U11" s="4">
        <v>0</v>
      </c>
      <c r="V11" s="3">
        <v>0</v>
      </c>
      <c r="W11" s="4">
        <v>0</v>
      </c>
      <c r="X11" s="9">
        <f t="shared" si="0"/>
        <v>71.89</v>
      </c>
    </row>
    <row r="12" spans="1:24" ht="13" x14ac:dyDescent="0.3">
      <c r="A12" s="2" t="s">
        <v>43</v>
      </c>
      <c r="B12" s="3" t="s">
        <v>31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3">
        <v>0</v>
      </c>
      <c r="J12" s="4">
        <v>0</v>
      </c>
      <c r="K12" s="4">
        <v>98.67</v>
      </c>
      <c r="L12" s="3">
        <v>0</v>
      </c>
      <c r="M12" s="4">
        <v>98.67</v>
      </c>
      <c r="N12" s="3">
        <v>3.95</v>
      </c>
      <c r="O12" s="4">
        <v>0</v>
      </c>
      <c r="P12" s="4">
        <v>0</v>
      </c>
      <c r="Q12" s="3">
        <v>0</v>
      </c>
      <c r="R12" s="4">
        <v>0</v>
      </c>
      <c r="S12" s="3">
        <v>0</v>
      </c>
      <c r="T12" s="4">
        <v>0</v>
      </c>
      <c r="U12" s="4">
        <v>0</v>
      </c>
      <c r="V12" s="4">
        <v>0</v>
      </c>
      <c r="W12" s="4">
        <v>0</v>
      </c>
      <c r="X12" s="9">
        <f t="shared" si="0"/>
        <v>94.72</v>
      </c>
    </row>
    <row r="13" spans="1:24" ht="13" x14ac:dyDescent="0.3">
      <c r="A13" s="2" t="s">
        <v>44</v>
      </c>
      <c r="B13" s="3" t="s">
        <v>45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3">
        <v>0</v>
      </c>
      <c r="J13" s="4">
        <v>0</v>
      </c>
      <c r="K13" s="4">
        <v>177.05</v>
      </c>
      <c r="L13" s="3">
        <v>0</v>
      </c>
      <c r="M13" s="4">
        <v>177.05</v>
      </c>
      <c r="N13" s="3">
        <v>7.08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9">
        <f t="shared" si="0"/>
        <v>169.97</v>
      </c>
    </row>
    <row r="14" spans="1:24" ht="13" x14ac:dyDescent="0.3">
      <c r="A14" s="2" t="s">
        <v>46</v>
      </c>
      <c r="B14" s="3" t="s">
        <v>47</v>
      </c>
      <c r="C14" s="3">
        <v>4</v>
      </c>
      <c r="D14" s="3">
        <v>10</v>
      </c>
      <c r="E14" s="4">
        <v>131.83000000000001</v>
      </c>
      <c r="F14" s="4">
        <v>334.59</v>
      </c>
      <c r="G14" s="4">
        <v>162.24</v>
      </c>
      <c r="H14" s="4">
        <v>0</v>
      </c>
      <c r="I14" s="3">
        <v>0</v>
      </c>
      <c r="J14" s="4">
        <v>0</v>
      </c>
      <c r="K14" s="4">
        <v>134.88999999999999</v>
      </c>
      <c r="L14" s="3">
        <v>41.67</v>
      </c>
      <c r="M14" s="4">
        <v>805.22</v>
      </c>
      <c r="N14" s="3">
        <v>32.21</v>
      </c>
      <c r="O14" s="4">
        <v>372.26</v>
      </c>
      <c r="P14" s="4">
        <v>252.99</v>
      </c>
      <c r="Q14" s="3">
        <v>96.04</v>
      </c>
      <c r="R14" s="4">
        <v>0</v>
      </c>
      <c r="S14" s="3">
        <v>0</v>
      </c>
      <c r="T14" s="4">
        <v>0</v>
      </c>
      <c r="U14" s="4">
        <v>721.29</v>
      </c>
      <c r="V14" s="4">
        <v>0</v>
      </c>
      <c r="W14" s="3">
        <v>0</v>
      </c>
      <c r="X14" s="9">
        <f t="shared" si="0"/>
        <v>51.720000000000063</v>
      </c>
    </row>
    <row r="15" spans="1:24" ht="13" x14ac:dyDescent="0.3">
      <c r="A15" s="2" t="s">
        <v>48</v>
      </c>
      <c r="B15" s="3" t="s">
        <v>49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4">
        <v>0</v>
      </c>
      <c r="I15" s="3">
        <v>0</v>
      </c>
      <c r="J15" s="4">
        <v>0</v>
      </c>
      <c r="K15" s="4">
        <v>185.57</v>
      </c>
      <c r="L15" s="3">
        <v>0</v>
      </c>
      <c r="M15" s="4">
        <v>185.57</v>
      </c>
      <c r="N15" s="4">
        <v>7.42</v>
      </c>
      <c r="O15" s="4">
        <v>0</v>
      </c>
      <c r="P15" s="4">
        <v>0</v>
      </c>
      <c r="Q15" s="3">
        <v>0</v>
      </c>
      <c r="R15" s="4">
        <v>0</v>
      </c>
      <c r="S15" s="3">
        <v>0</v>
      </c>
      <c r="T15" s="4">
        <v>0</v>
      </c>
      <c r="U15" s="4">
        <v>0</v>
      </c>
      <c r="V15" s="4">
        <v>0</v>
      </c>
      <c r="W15" s="4">
        <v>0</v>
      </c>
      <c r="X15" s="9">
        <f t="shared" si="0"/>
        <v>178.15</v>
      </c>
    </row>
    <row r="16" spans="1:24" ht="13" x14ac:dyDescent="0.3">
      <c r="A16" s="2" t="s">
        <v>50</v>
      </c>
      <c r="B16" s="3" t="s">
        <v>51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3">
        <v>0</v>
      </c>
      <c r="I16" s="3">
        <v>0</v>
      </c>
      <c r="J16" s="4">
        <v>0</v>
      </c>
      <c r="K16" s="4">
        <v>201.07</v>
      </c>
      <c r="L16" s="3">
        <v>0</v>
      </c>
      <c r="M16" s="4">
        <v>201.07</v>
      </c>
      <c r="N16" s="3">
        <v>8.0399999999999991</v>
      </c>
      <c r="O16" s="4">
        <v>0</v>
      </c>
      <c r="P16" s="4">
        <v>0</v>
      </c>
      <c r="Q16" s="3">
        <v>0</v>
      </c>
      <c r="R16" s="4">
        <v>0</v>
      </c>
      <c r="S16" s="3">
        <v>0</v>
      </c>
      <c r="T16" s="4">
        <v>0</v>
      </c>
      <c r="U16" s="4">
        <v>0</v>
      </c>
      <c r="V16" s="4">
        <v>0</v>
      </c>
      <c r="W16" s="4">
        <v>0</v>
      </c>
      <c r="X16" s="9">
        <f t="shared" si="0"/>
        <v>193.03</v>
      </c>
    </row>
    <row r="17" spans="1:24" ht="13" x14ac:dyDescent="0.3">
      <c r="A17" s="6" t="s">
        <v>52</v>
      </c>
      <c r="B17" s="7" t="s">
        <v>29</v>
      </c>
      <c r="C17" s="7">
        <v>23</v>
      </c>
      <c r="D17" s="7">
        <v>38</v>
      </c>
      <c r="E17" s="8">
        <v>856.71</v>
      </c>
      <c r="F17" s="8">
        <v>1568.18</v>
      </c>
      <c r="G17" s="8">
        <v>694.86</v>
      </c>
      <c r="H17" s="7">
        <v>0</v>
      </c>
      <c r="I17" s="7">
        <v>0</v>
      </c>
      <c r="J17" s="7">
        <v>0</v>
      </c>
      <c r="K17" s="7">
        <v>263.64</v>
      </c>
      <c r="L17" s="7">
        <v>0</v>
      </c>
      <c r="M17" s="8">
        <v>3383.39</v>
      </c>
      <c r="N17" s="7">
        <v>135.34</v>
      </c>
      <c r="O17" s="8">
        <v>2542</v>
      </c>
      <c r="P17" s="8">
        <v>1049.98</v>
      </c>
      <c r="Q17" s="7">
        <v>96.04</v>
      </c>
      <c r="R17" s="7">
        <v>0</v>
      </c>
      <c r="S17" s="7">
        <v>0</v>
      </c>
      <c r="T17" s="7">
        <v>0</v>
      </c>
      <c r="U17" s="8">
        <v>3688.02</v>
      </c>
      <c r="V17" s="7">
        <v>0</v>
      </c>
      <c r="W17" s="8">
        <v>0</v>
      </c>
      <c r="X17" s="5">
        <f t="shared" si="0"/>
        <v>-439.97000000000014</v>
      </c>
    </row>
    <row r="18" spans="1:24" ht="13" x14ac:dyDescent="0.3">
      <c r="A18" s="6" t="s">
        <v>53</v>
      </c>
      <c r="B18" s="7" t="s">
        <v>54</v>
      </c>
      <c r="C18" s="7">
        <v>0</v>
      </c>
      <c r="D18" s="7">
        <v>0</v>
      </c>
      <c r="E18" s="8">
        <v>0</v>
      </c>
      <c r="F18" s="8">
        <v>0</v>
      </c>
      <c r="G18" s="8">
        <v>0</v>
      </c>
      <c r="H18" s="7">
        <v>0</v>
      </c>
      <c r="I18" s="7">
        <v>0</v>
      </c>
      <c r="J18" s="8">
        <v>0</v>
      </c>
      <c r="K18" s="8">
        <v>207.67</v>
      </c>
      <c r="L18" s="7">
        <v>0</v>
      </c>
      <c r="M18" s="8">
        <v>207.67</v>
      </c>
      <c r="N18" s="7">
        <v>8.31</v>
      </c>
      <c r="O18" s="8">
        <v>0</v>
      </c>
      <c r="P18" s="8">
        <v>0</v>
      </c>
      <c r="Q18" s="7">
        <v>0</v>
      </c>
      <c r="R18" s="8">
        <v>0</v>
      </c>
      <c r="S18" s="7">
        <v>0</v>
      </c>
      <c r="T18" s="8">
        <v>0</v>
      </c>
      <c r="U18" s="8">
        <v>0</v>
      </c>
      <c r="V18" s="8">
        <v>0</v>
      </c>
      <c r="W18" s="8">
        <v>0</v>
      </c>
      <c r="X18" s="9">
        <f t="shared" si="0"/>
        <v>199.35999999999999</v>
      </c>
    </row>
    <row r="19" spans="1:24" ht="13" x14ac:dyDescent="0.3">
      <c r="A19" s="2" t="s">
        <v>55</v>
      </c>
      <c r="B19" s="3" t="s">
        <v>56</v>
      </c>
      <c r="C19" s="3">
        <v>4</v>
      </c>
      <c r="D19" s="3">
        <v>7</v>
      </c>
      <c r="E19" s="4">
        <v>89.56</v>
      </c>
      <c r="F19" s="4">
        <v>175.98</v>
      </c>
      <c r="G19" s="4">
        <v>101.21</v>
      </c>
      <c r="H19" s="4">
        <v>0</v>
      </c>
      <c r="I19" s="3">
        <v>0</v>
      </c>
      <c r="J19" s="4">
        <v>0</v>
      </c>
      <c r="K19" s="4">
        <v>192.5</v>
      </c>
      <c r="L19" s="3">
        <v>41.67</v>
      </c>
      <c r="M19" s="4">
        <v>600.91999999999996</v>
      </c>
      <c r="N19" s="3">
        <v>24.04</v>
      </c>
      <c r="O19" s="4">
        <v>355.99</v>
      </c>
      <c r="P19" s="4">
        <v>0</v>
      </c>
      <c r="Q19" s="3">
        <v>96.04</v>
      </c>
      <c r="R19" s="4">
        <v>0</v>
      </c>
      <c r="S19" s="3">
        <v>0</v>
      </c>
      <c r="T19" s="4">
        <v>0</v>
      </c>
      <c r="U19" s="4">
        <v>452.03</v>
      </c>
      <c r="V19" s="4">
        <v>0</v>
      </c>
      <c r="W19" s="4">
        <v>0</v>
      </c>
      <c r="X19" s="9">
        <f t="shared" si="0"/>
        <v>124.85</v>
      </c>
    </row>
    <row r="20" spans="1:24" ht="13" x14ac:dyDescent="0.3">
      <c r="A20" s="2" t="s">
        <v>57</v>
      </c>
      <c r="B20" s="10" t="s">
        <v>35</v>
      </c>
      <c r="C20" s="3">
        <v>11</v>
      </c>
      <c r="D20" s="3">
        <v>16</v>
      </c>
      <c r="E20" s="4">
        <v>354.98</v>
      </c>
      <c r="F20" s="4">
        <v>539.9</v>
      </c>
      <c r="G20" s="4">
        <v>172.5</v>
      </c>
      <c r="H20" s="4">
        <v>0</v>
      </c>
      <c r="I20" s="4">
        <v>0</v>
      </c>
      <c r="J20" s="4">
        <v>0</v>
      </c>
      <c r="K20" s="4">
        <v>187.16</v>
      </c>
      <c r="L20" s="3">
        <v>0</v>
      </c>
      <c r="M20" s="4">
        <v>1254.54</v>
      </c>
      <c r="N20" s="3">
        <v>50.18</v>
      </c>
      <c r="O20" s="4">
        <v>1092</v>
      </c>
      <c r="P20" s="4">
        <v>0</v>
      </c>
      <c r="Q20" s="4">
        <v>96.04</v>
      </c>
      <c r="R20" s="4">
        <v>0</v>
      </c>
      <c r="S20" s="4">
        <v>0</v>
      </c>
      <c r="T20" s="4">
        <v>0</v>
      </c>
      <c r="U20" s="4">
        <v>1188.04</v>
      </c>
      <c r="V20" s="4">
        <v>0</v>
      </c>
      <c r="W20" s="4">
        <v>0</v>
      </c>
      <c r="X20" s="9">
        <f t="shared" si="0"/>
        <v>16.32</v>
      </c>
    </row>
    <row r="21" spans="1:24" ht="13" x14ac:dyDescent="0.3">
      <c r="A21" s="2" t="s">
        <v>58</v>
      </c>
      <c r="B21" s="3" t="s">
        <v>59</v>
      </c>
      <c r="C21" s="3">
        <v>18</v>
      </c>
      <c r="D21" s="3">
        <v>25</v>
      </c>
      <c r="E21" s="4">
        <v>694.75</v>
      </c>
      <c r="F21" s="4">
        <v>1178.2</v>
      </c>
      <c r="G21" s="4">
        <v>562.22</v>
      </c>
      <c r="H21" s="3">
        <v>0</v>
      </c>
      <c r="I21" s="3">
        <v>0</v>
      </c>
      <c r="J21" s="3">
        <v>0</v>
      </c>
      <c r="K21" s="3">
        <v>13.07</v>
      </c>
      <c r="L21" s="3">
        <v>41.67</v>
      </c>
      <c r="M21" s="4">
        <v>2489.9</v>
      </c>
      <c r="N21" s="3">
        <v>99.6</v>
      </c>
      <c r="O21" s="4">
        <v>2601.7600000000002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4">
        <v>2601.7600000000002</v>
      </c>
      <c r="V21" s="3">
        <v>0</v>
      </c>
      <c r="W21" s="4">
        <v>0</v>
      </c>
      <c r="X21" s="5">
        <f t="shared" si="0"/>
        <v>-211.46000000000012</v>
      </c>
    </row>
    <row r="22" spans="1:24" ht="13" x14ac:dyDescent="0.3">
      <c r="A22" s="2" t="s">
        <v>60</v>
      </c>
      <c r="B22" s="3" t="s">
        <v>61</v>
      </c>
      <c r="C22" s="3">
        <v>71</v>
      </c>
      <c r="D22" s="3">
        <v>97</v>
      </c>
      <c r="E22" s="4">
        <v>2493.15</v>
      </c>
      <c r="F22" s="4">
        <v>3260.35</v>
      </c>
      <c r="G22" s="4">
        <v>2749.59</v>
      </c>
      <c r="H22" s="4">
        <v>916.66</v>
      </c>
      <c r="I22" s="3">
        <v>0</v>
      </c>
      <c r="J22" s="4">
        <v>0</v>
      </c>
      <c r="K22" s="4">
        <v>412.23</v>
      </c>
      <c r="L22" s="3">
        <v>33.33</v>
      </c>
      <c r="M22" s="4">
        <v>9865.31</v>
      </c>
      <c r="N22" s="3">
        <v>394.61</v>
      </c>
      <c r="O22" s="4">
        <v>3175.88</v>
      </c>
      <c r="P22" s="4">
        <v>7854.26</v>
      </c>
      <c r="Q22" s="3">
        <v>96.04</v>
      </c>
      <c r="R22" s="4">
        <v>0</v>
      </c>
      <c r="S22" s="3">
        <v>0</v>
      </c>
      <c r="T22" s="4">
        <v>0</v>
      </c>
      <c r="U22" s="4">
        <v>11126.18</v>
      </c>
      <c r="V22" s="4">
        <v>0</v>
      </c>
      <c r="W22" s="4">
        <v>0</v>
      </c>
      <c r="X22" s="5">
        <f t="shared" si="0"/>
        <v>-1655.4800000000009</v>
      </c>
    </row>
    <row r="23" spans="1:24" ht="13" x14ac:dyDescent="0.3">
      <c r="A23" s="2" t="s">
        <v>62</v>
      </c>
      <c r="B23" s="3" t="s">
        <v>63</v>
      </c>
      <c r="C23" s="3">
        <v>6</v>
      </c>
      <c r="D23" s="3">
        <v>7</v>
      </c>
      <c r="E23" s="4">
        <v>182.4</v>
      </c>
      <c r="F23" s="4">
        <v>198.8</v>
      </c>
      <c r="G23" s="4">
        <v>98.09</v>
      </c>
      <c r="H23" s="4">
        <v>0</v>
      </c>
      <c r="I23" s="4">
        <v>0</v>
      </c>
      <c r="J23" s="4">
        <v>0</v>
      </c>
      <c r="K23" s="4">
        <v>81.3</v>
      </c>
      <c r="L23" s="3">
        <v>0</v>
      </c>
      <c r="M23" s="4">
        <v>560.59</v>
      </c>
      <c r="N23" s="3">
        <v>22.42</v>
      </c>
      <c r="O23" s="4">
        <v>428.99</v>
      </c>
      <c r="P23" s="4">
        <v>397.98</v>
      </c>
      <c r="Q23" s="3">
        <v>0</v>
      </c>
      <c r="R23" s="4">
        <v>0</v>
      </c>
      <c r="S23" s="3">
        <v>0</v>
      </c>
      <c r="T23" s="4">
        <v>0</v>
      </c>
      <c r="U23" s="4">
        <v>826.97</v>
      </c>
      <c r="V23" s="4">
        <v>0</v>
      </c>
      <c r="W23" s="4">
        <v>500</v>
      </c>
      <c r="X23" s="9">
        <f t="shared" si="0"/>
        <v>211.2</v>
      </c>
    </row>
    <row r="24" spans="1:24" ht="13" x14ac:dyDescent="0.3">
      <c r="A24" s="2" t="s">
        <v>64</v>
      </c>
      <c r="B24" s="3" t="s">
        <v>65</v>
      </c>
      <c r="C24" s="3">
        <v>0</v>
      </c>
      <c r="D24" s="3">
        <v>0</v>
      </c>
      <c r="E24" s="4">
        <v>0</v>
      </c>
      <c r="F24" s="4">
        <v>0</v>
      </c>
      <c r="G24" s="4">
        <v>0</v>
      </c>
      <c r="H24" s="3">
        <v>0</v>
      </c>
      <c r="I24" s="3">
        <v>0</v>
      </c>
      <c r="J24" s="4">
        <v>0</v>
      </c>
      <c r="K24" s="4">
        <v>355.2</v>
      </c>
      <c r="L24" s="3">
        <v>0</v>
      </c>
      <c r="M24" s="4">
        <v>355.2</v>
      </c>
      <c r="N24" s="3">
        <v>14.21</v>
      </c>
      <c r="O24" s="4">
        <v>0</v>
      </c>
      <c r="P24" s="4">
        <v>0</v>
      </c>
      <c r="Q24" s="3">
        <v>0</v>
      </c>
      <c r="R24" s="4">
        <v>0</v>
      </c>
      <c r="S24" s="3">
        <v>0</v>
      </c>
      <c r="T24" s="4">
        <v>0</v>
      </c>
      <c r="U24" s="4">
        <v>0</v>
      </c>
      <c r="V24" s="4">
        <v>0</v>
      </c>
      <c r="W24" s="4">
        <v>0</v>
      </c>
      <c r="X24" s="9">
        <f t="shared" si="0"/>
        <v>340.99</v>
      </c>
    </row>
    <row r="25" spans="1:24" ht="13" x14ac:dyDescent="0.3">
      <c r="A25" s="2" t="s">
        <v>66</v>
      </c>
      <c r="B25" s="10" t="s">
        <v>65</v>
      </c>
      <c r="C25" s="3">
        <v>3</v>
      </c>
      <c r="D25" s="3">
        <v>6</v>
      </c>
      <c r="E25" s="4">
        <v>69.989999999999995</v>
      </c>
      <c r="F25" s="4">
        <v>147.46</v>
      </c>
      <c r="G25" s="4">
        <v>90.32</v>
      </c>
      <c r="H25" s="4">
        <v>0</v>
      </c>
      <c r="I25" s="3">
        <v>0</v>
      </c>
      <c r="J25" s="4">
        <v>0</v>
      </c>
      <c r="K25" s="4">
        <v>1161.81</v>
      </c>
      <c r="L25" s="3">
        <v>0</v>
      </c>
      <c r="M25" s="4">
        <v>1469.58</v>
      </c>
      <c r="N25" s="3">
        <v>58.78</v>
      </c>
      <c r="O25" s="4">
        <v>1248.98</v>
      </c>
      <c r="P25" s="4">
        <v>0</v>
      </c>
      <c r="Q25" s="3">
        <v>0</v>
      </c>
      <c r="R25" s="4">
        <v>0</v>
      </c>
      <c r="S25" s="3">
        <v>0</v>
      </c>
      <c r="T25" s="4">
        <v>0</v>
      </c>
      <c r="U25" s="4">
        <v>1248.98</v>
      </c>
      <c r="V25" s="4">
        <v>0</v>
      </c>
      <c r="W25" s="4">
        <v>0</v>
      </c>
      <c r="X25" s="9">
        <f t="shared" si="0"/>
        <v>161.81999999999991</v>
      </c>
    </row>
    <row r="26" spans="1:24" ht="13" x14ac:dyDescent="0.3">
      <c r="A26" s="2" t="s">
        <v>67</v>
      </c>
      <c r="B26" s="3" t="s">
        <v>68</v>
      </c>
      <c r="C26" s="3">
        <v>25</v>
      </c>
      <c r="D26" s="3">
        <v>30</v>
      </c>
      <c r="E26" s="4">
        <v>569.76</v>
      </c>
      <c r="F26" s="4">
        <v>842.94</v>
      </c>
      <c r="G26" s="4">
        <v>308.45999999999998</v>
      </c>
      <c r="H26" s="4">
        <v>0</v>
      </c>
      <c r="I26" s="3">
        <v>0</v>
      </c>
      <c r="J26" s="4">
        <v>0</v>
      </c>
      <c r="K26" s="4">
        <v>344.88</v>
      </c>
      <c r="L26" s="3">
        <v>0</v>
      </c>
      <c r="M26" s="4">
        <v>2066.04</v>
      </c>
      <c r="N26" s="3">
        <v>82.64</v>
      </c>
      <c r="O26" s="4">
        <v>2335.4299999999998</v>
      </c>
      <c r="P26" s="4">
        <v>0</v>
      </c>
      <c r="Q26" s="3">
        <v>96.04</v>
      </c>
      <c r="R26" s="4">
        <v>0</v>
      </c>
      <c r="S26" s="3">
        <v>0</v>
      </c>
      <c r="T26" s="4">
        <v>0</v>
      </c>
      <c r="U26" s="4">
        <v>2431.4699999999998</v>
      </c>
      <c r="V26" s="4">
        <v>0</v>
      </c>
      <c r="W26" s="4">
        <v>500</v>
      </c>
      <c r="X26" s="9">
        <f t="shared" si="0"/>
        <v>51.930000000000177</v>
      </c>
    </row>
    <row r="27" spans="1:24" ht="13" x14ac:dyDescent="0.3">
      <c r="A27" s="2" t="s">
        <v>69</v>
      </c>
      <c r="B27" s="3" t="s">
        <v>68</v>
      </c>
      <c r="C27" s="3">
        <v>21</v>
      </c>
      <c r="D27" s="3">
        <v>27</v>
      </c>
      <c r="E27" s="4">
        <v>534.17999999999995</v>
      </c>
      <c r="F27" s="4">
        <v>878</v>
      </c>
      <c r="G27" s="4">
        <v>382.27</v>
      </c>
      <c r="H27" s="4">
        <v>0</v>
      </c>
      <c r="I27" s="3">
        <v>0</v>
      </c>
      <c r="J27" s="4">
        <v>0</v>
      </c>
      <c r="K27" s="4">
        <v>254.68</v>
      </c>
      <c r="L27" s="3">
        <v>16.670000000000002</v>
      </c>
      <c r="M27" s="4">
        <v>2065.8000000000002</v>
      </c>
      <c r="N27" s="3">
        <v>82.63</v>
      </c>
      <c r="O27" s="4">
        <v>811.58</v>
      </c>
      <c r="P27" s="4">
        <v>861.48</v>
      </c>
      <c r="Q27" s="3">
        <v>96.04</v>
      </c>
      <c r="R27" s="4">
        <v>0</v>
      </c>
      <c r="S27" s="3">
        <v>0</v>
      </c>
      <c r="T27" s="4">
        <v>0</v>
      </c>
      <c r="U27" s="4">
        <v>1769.1</v>
      </c>
      <c r="V27" s="4">
        <v>0</v>
      </c>
      <c r="W27" s="3">
        <v>0</v>
      </c>
      <c r="X27" s="9">
        <f t="shared" si="0"/>
        <v>214.07000000000028</v>
      </c>
    </row>
    <row r="28" spans="1:24" ht="13" x14ac:dyDescent="0.3">
      <c r="A28" s="2" t="s">
        <v>70</v>
      </c>
      <c r="B28" s="3" t="s">
        <v>65</v>
      </c>
      <c r="C28" s="3">
        <v>15</v>
      </c>
      <c r="D28" s="3">
        <v>27</v>
      </c>
      <c r="E28" s="4">
        <v>417.06</v>
      </c>
      <c r="F28" s="4">
        <v>766.31</v>
      </c>
      <c r="G28" s="4">
        <v>579.49</v>
      </c>
      <c r="H28" s="4">
        <v>0</v>
      </c>
      <c r="I28" s="3">
        <v>0</v>
      </c>
      <c r="J28" s="3">
        <v>0</v>
      </c>
      <c r="K28" s="3">
        <v>561.79</v>
      </c>
      <c r="L28" s="3">
        <v>0</v>
      </c>
      <c r="M28" s="4">
        <v>2324.65</v>
      </c>
      <c r="N28" s="3">
        <v>92.99</v>
      </c>
      <c r="O28" s="4">
        <v>2568.11</v>
      </c>
      <c r="P28" s="4">
        <v>758.25</v>
      </c>
      <c r="Q28" s="3">
        <v>96.04</v>
      </c>
      <c r="R28" s="3">
        <v>0</v>
      </c>
      <c r="S28" s="3">
        <v>0</v>
      </c>
      <c r="T28" s="3">
        <v>0</v>
      </c>
      <c r="U28" s="4">
        <v>3422.4</v>
      </c>
      <c r="V28" s="3">
        <v>0</v>
      </c>
      <c r="W28" s="4">
        <v>1400</v>
      </c>
      <c r="X28" s="9">
        <f t="shared" si="0"/>
        <v>209.26</v>
      </c>
    </row>
    <row r="29" spans="1:24" ht="13" x14ac:dyDescent="0.3">
      <c r="A29" s="2" t="s">
        <v>71</v>
      </c>
      <c r="B29" s="10" t="s">
        <v>72</v>
      </c>
      <c r="C29" s="3">
        <v>4</v>
      </c>
      <c r="D29" s="3">
        <v>5</v>
      </c>
      <c r="E29" s="4">
        <v>146.08000000000001</v>
      </c>
      <c r="F29" s="4">
        <v>207.76</v>
      </c>
      <c r="G29" s="4">
        <v>28.38</v>
      </c>
      <c r="H29" s="4">
        <v>0</v>
      </c>
      <c r="I29" s="3">
        <v>0</v>
      </c>
      <c r="J29" s="3">
        <v>0</v>
      </c>
      <c r="K29" s="3">
        <v>179.46</v>
      </c>
      <c r="L29" s="3">
        <v>25</v>
      </c>
      <c r="M29" s="4">
        <v>586.67999999999995</v>
      </c>
      <c r="N29" s="3">
        <v>23.47</v>
      </c>
      <c r="O29" s="4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4">
        <v>0</v>
      </c>
      <c r="V29" s="3">
        <v>0</v>
      </c>
      <c r="W29" s="4">
        <v>0</v>
      </c>
      <c r="X29" s="9">
        <f t="shared" si="0"/>
        <v>563.20999999999992</v>
      </c>
    </row>
    <row r="30" spans="1:24" ht="13" x14ac:dyDescent="0.3">
      <c r="A30" s="2" t="s">
        <v>73</v>
      </c>
      <c r="B30" s="3" t="s">
        <v>59</v>
      </c>
      <c r="C30" s="3">
        <v>15</v>
      </c>
      <c r="D30" s="3">
        <v>20</v>
      </c>
      <c r="E30" s="4">
        <v>549.5</v>
      </c>
      <c r="F30" s="4">
        <v>907.3</v>
      </c>
      <c r="G30" s="4">
        <v>403.44</v>
      </c>
      <c r="H30" s="4">
        <v>0</v>
      </c>
      <c r="I30" s="3">
        <v>0</v>
      </c>
      <c r="J30" s="3">
        <v>0</v>
      </c>
      <c r="K30" s="3">
        <v>13.27</v>
      </c>
      <c r="L30" s="3">
        <v>0</v>
      </c>
      <c r="M30" s="4">
        <v>1873.51</v>
      </c>
      <c r="N30" s="3">
        <v>74.94</v>
      </c>
      <c r="O30" s="4">
        <v>541.29999999999995</v>
      </c>
      <c r="P30" s="4">
        <v>946.98</v>
      </c>
      <c r="Q30" s="3">
        <v>0</v>
      </c>
      <c r="R30" s="3">
        <v>0</v>
      </c>
      <c r="S30" s="3">
        <v>0</v>
      </c>
      <c r="T30" s="3">
        <v>0</v>
      </c>
      <c r="U30" s="4">
        <v>1488.28</v>
      </c>
      <c r="V30" s="3">
        <v>0</v>
      </c>
      <c r="W30" s="4">
        <v>0</v>
      </c>
      <c r="X30" s="9">
        <f t="shared" si="0"/>
        <v>310.29000000000002</v>
      </c>
    </row>
    <row r="31" spans="1:24" ht="13" x14ac:dyDescent="0.3">
      <c r="A31" s="2" t="s">
        <v>74</v>
      </c>
      <c r="B31" s="3" t="s">
        <v>33</v>
      </c>
      <c r="C31" s="3">
        <v>24</v>
      </c>
      <c r="D31" s="3">
        <v>35</v>
      </c>
      <c r="E31" s="4">
        <v>703.48</v>
      </c>
      <c r="F31" s="4">
        <v>1155.42</v>
      </c>
      <c r="G31" s="4">
        <v>590.61</v>
      </c>
      <c r="H31" s="3">
        <v>0</v>
      </c>
      <c r="I31" s="3">
        <v>0</v>
      </c>
      <c r="J31" s="3">
        <v>0</v>
      </c>
      <c r="K31" s="3">
        <v>20.38</v>
      </c>
      <c r="L31" s="3">
        <v>0</v>
      </c>
      <c r="M31" s="4">
        <v>2469.89</v>
      </c>
      <c r="N31" s="3">
        <v>98.8</v>
      </c>
      <c r="O31" s="4">
        <v>2136.54</v>
      </c>
      <c r="P31" s="4">
        <v>0</v>
      </c>
      <c r="Q31" s="3">
        <v>0</v>
      </c>
      <c r="R31" s="3">
        <v>0</v>
      </c>
      <c r="S31" s="3">
        <v>0</v>
      </c>
      <c r="T31" s="3">
        <v>0</v>
      </c>
      <c r="U31" s="4">
        <v>2136.54</v>
      </c>
      <c r="V31" s="3">
        <v>0</v>
      </c>
      <c r="W31" s="4">
        <v>0</v>
      </c>
      <c r="X31" s="9">
        <f t="shared" si="0"/>
        <v>234.5499999999999</v>
      </c>
    </row>
    <row r="32" spans="1:24" ht="13" x14ac:dyDescent="0.3">
      <c r="A32" s="2" t="s">
        <v>75</v>
      </c>
      <c r="B32" s="3" t="s">
        <v>27</v>
      </c>
      <c r="C32" s="3">
        <v>0</v>
      </c>
      <c r="D32" s="3">
        <v>0</v>
      </c>
      <c r="E32" s="4">
        <v>0</v>
      </c>
      <c r="F32" s="4">
        <v>0</v>
      </c>
      <c r="G32" s="4">
        <v>0</v>
      </c>
      <c r="H32" s="4">
        <v>0</v>
      </c>
      <c r="I32" s="3">
        <v>0</v>
      </c>
      <c r="J32" s="4">
        <v>0</v>
      </c>
      <c r="K32" s="4">
        <v>642.54999999999995</v>
      </c>
      <c r="L32" s="3">
        <v>0</v>
      </c>
      <c r="M32" s="4">
        <v>642.54999999999995</v>
      </c>
      <c r="N32" s="3">
        <v>25.7</v>
      </c>
      <c r="O32" s="4">
        <v>0</v>
      </c>
      <c r="P32" s="4">
        <v>0</v>
      </c>
      <c r="Q32" s="3">
        <v>0</v>
      </c>
      <c r="R32" s="4">
        <v>0</v>
      </c>
      <c r="S32" s="3">
        <v>0</v>
      </c>
      <c r="T32" s="4">
        <v>0</v>
      </c>
      <c r="U32" s="4">
        <v>0</v>
      </c>
      <c r="V32" s="4">
        <v>0</v>
      </c>
      <c r="W32" s="4">
        <v>0</v>
      </c>
      <c r="X32" s="9">
        <f t="shared" si="0"/>
        <v>616.84999999999991</v>
      </c>
    </row>
    <row r="33" spans="1:24" ht="13" x14ac:dyDescent="0.3">
      <c r="A33" s="2" t="s">
        <v>76</v>
      </c>
      <c r="B33" s="3" t="s">
        <v>31</v>
      </c>
      <c r="C33" s="3">
        <v>11</v>
      </c>
      <c r="D33" s="3">
        <v>12</v>
      </c>
      <c r="E33" s="4">
        <v>423</v>
      </c>
      <c r="F33" s="4">
        <v>510</v>
      </c>
      <c r="G33" s="4">
        <v>193.07</v>
      </c>
      <c r="H33" s="4">
        <v>0</v>
      </c>
      <c r="I33" s="3">
        <v>0</v>
      </c>
      <c r="J33" s="4">
        <v>0</v>
      </c>
      <c r="K33" s="4">
        <v>0</v>
      </c>
      <c r="L33" s="3">
        <v>0</v>
      </c>
      <c r="M33" s="4">
        <v>1126.07</v>
      </c>
      <c r="N33" s="3">
        <v>45.04</v>
      </c>
      <c r="O33" s="4">
        <v>2537.4699999999998</v>
      </c>
      <c r="P33" s="4">
        <v>0</v>
      </c>
      <c r="Q33" s="3">
        <v>0</v>
      </c>
      <c r="R33" s="4">
        <v>0</v>
      </c>
      <c r="S33" s="3">
        <v>0</v>
      </c>
      <c r="T33" s="4">
        <v>0</v>
      </c>
      <c r="U33" s="4">
        <v>2537.4699999999998</v>
      </c>
      <c r="V33" s="4">
        <v>0</v>
      </c>
      <c r="W33" s="4">
        <v>2000</v>
      </c>
      <c r="X33" s="9">
        <f t="shared" si="0"/>
        <v>543.56000000000017</v>
      </c>
    </row>
    <row r="34" spans="1:24" ht="13" x14ac:dyDescent="0.3">
      <c r="A34" s="2" t="s">
        <v>77</v>
      </c>
      <c r="B34" s="3" t="s">
        <v>65</v>
      </c>
      <c r="C34" s="3">
        <v>9</v>
      </c>
      <c r="D34" s="3">
        <v>13</v>
      </c>
      <c r="E34" s="4">
        <v>340.67</v>
      </c>
      <c r="F34" s="4">
        <v>526.75</v>
      </c>
      <c r="G34" s="4">
        <v>394.58</v>
      </c>
      <c r="H34" s="4">
        <v>0</v>
      </c>
      <c r="I34" s="3">
        <v>0</v>
      </c>
      <c r="J34" s="3">
        <v>0</v>
      </c>
      <c r="K34" s="3">
        <v>706.84</v>
      </c>
      <c r="L34" s="3">
        <v>16.670000000000002</v>
      </c>
      <c r="M34" s="4">
        <v>1985.51</v>
      </c>
      <c r="N34" s="3">
        <v>79.42</v>
      </c>
      <c r="O34" s="4">
        <v>1443.97</v>
      </c>
      <c r="P34" s="4">
        <v>0</v>
      </c>
      <c r="Q34" s="3">
        <v>0</v>
      </c>
      <c r="R34" s="3">
        <v>0</v>
      </c>
      <c r="S34" s="3">
        <v>0</v>
      </c>
      <c r="T34" s="3">
        <v>0</v>
      </c>
      <c r="U34" s="4">
        <v>1443.97</v>
      </c>
      <c r="V34" s="3">
        <v>0</v>
      </c>
      <c r="W34" s="4">
        <v>0</v>
      </c>
      <c r="X34" s="9">
        <f t="shared" si="0"/>
        <v>462.11999999999995</v>
      </c>
    </row>
    <row r="35" spans="1:24" ht="13" x14ac:dyDescent="0.3">
      <c r="A35" s="6" t="s">
        <v>78</v>
      </c>
      <c r="B35" s="7" t="s">
        <v>59</v>
      </c>
      <c r="C35" s="7">
        <v>24</v>
      </c>
      <c r="D35" s="7">
        <v>33</v>
      </c>
      <c r="E35" s="8">
        <v>929.25</v>
      </c>
      <c r="F35" s="8">
        <v>1567.35</v>
      </c>
      <c r="G35" s="8">
        <v>866.39</v>
      </c>
      <c r="H35" s="7">
        <v>0</v>
      </c>
      <c r="I35" s="7">
        <v>0</v>
      </c>
      <c r="J35" s="7">
        <v>0</v>
      </c>
      <c r="K35" s="7">
        <v>383.14</v>
      </c>
      <c r="L35" s="7">
        <v>0</v>
      </c>
      <c r="M35" s="8">
        <v>3746.13</v>
      </c>
      <c r="N35" s="7">
        <v>149.85</v>
      </c>
      <c r="O35" s="8">
        <v>2383.6799999999998</v>
      </c>
      <c r="P35" s="8">
        <v>892.97</v>
      </c>
      <c r="Q35" s="7">
        <v>96.04</v>
      </c>
      <c r="R35" s="7">
        <v>0</v>
      </c>
      <c r="S35" s="7">
        <v>0</v>
      </c>
      <c r="T35" s="7">
        <v>0</v>
      </c>
      <c r="U35" s="8">
        <v>3372.69</v>
      </c>
      <c r="V35" s="7">
        <v>0</v>
      </c>
      <c r="W35" s="8">
        <v>0</v>
      </c>
      <c r="X35" s="9">
        <f t="shared" si="0"/>
        <v>223.59000000000006</v>
      </c>
    </row>
    <row r="36" spans="1:24" ht="13" x14ac:dyDescent="0.3">
      <c r="A36" s="2" t="s">
        <v>79</v>
      </c>
      <c r="B36" s="3" t="s">
        <v>80</v>
      </c>
      <c r="C36" s="3">
        <v>28</v>
      </c>
      <c r="D36" s="3">
        <v>54</v>
      </c>
      <c r="E36" s="4">
        <v>988.05</v>
      </c>
      <c r="F36" s="4">
        <v>1784.05</v>
      </c>
      <c r="G36" s="4">
        <v>864.52</v>
      </c>
      <c r="H36" s="4">
        <v>0</v>
      </c>
      <c r="I36" s="4">
        <v>0</v>
      </c>
      <c r="J36" s="3">
        <v>0</v>
      </c>
      <c r="K36" s="3">
        <v>153.13</v>
      </c>
      <c r="L36" s="3">
        <v>0</v>
      </c>
      <c r="M36" s="4">
        <v>3789.75</v>
      </c>
      <c r="N36" s="3">
        <v>151.59</v>
      </c>
      <c r="O36" s="4">
        <v>4807.75</v>
      </c>
      <c r="P36" s="4">
        <v>0</v>
      </c>
      <c r="Q36" s="4">
        <v>0</v>
      </c>
      <c r="R36" s="3">
        <v>0</v>
      </c>
      <c r="S36" s="4">
        <v>0</v>
      </c>
      <c r="T36" s="3">
        <v>0</v>
      </c>
      <c r="U36" s="4">
        <v>4807.75</v>
      </c>
      <c r="V36" s="3">
        <v>0</v>
      </c>
      <c r="W36" s="4">
        <v>1400</v>
      </c>
      <c r="X36" s="9">
        <f t="shared" si="0"/>
        <v>230.41000000000008</v>
      </c>
    </row>
    <row r="37" spans="1:24" ht="13" x14ac:dyDescent="0.3">
      <c r="A37" s="2" t="s">
        <v>81</v>
      </c>
      <c r="B37" s="3" t="s">
        <v>80</v>
      </c>
      <c r="C37" s="3">
        <v>43</v>
      </c>
      <c r="D37" s="3">
        <v>79</v>
      </c>
      <c r="E37" s="4">
        <v>1245.93</v>
      </c>
      <c r="F37" s="4">
        <v>2327.9499999999998</v>
      </c>
      <c r="G37" s="4">
        <v>869.66</v>
      </c>
      <c r="H37" s="3">
        <v>0</v>
      </c>
      <c r="I37" s="3">
        <v>0</v>
      </c>
      <c r="J37" s="3">
        <v>0</v>
      </c>
      <c r="K37" s="3">
        <v>951.51</v>
      </c>
      <c r="L37" s="3">
        <v>83.33</v>
      </c>
      <c r="M37" s="4">
        <v>5478.39</v>
      </c>
      <c r="N37" s="3">
        <v>219.14</v>
      </c>
      <c r="O37" s="4">
        <v>3066.18</v>
      </c>
      <c r="P37" s="4">
        <v>2151.5</v>
      </c>
      <c r="Q37" s="3">
        <v>96.04</v>
      </c>
      <c r="R37" s="3">
        <v>0</v>
      </c>
      <c r="S37" s="3">
        <v>0</v>
      </c>
      <c r="T37" s="3">
        <v>0</v>
      </c>
      <c r="U37" s="4">
        <v>5313.72</v>
      </c>
      <c r="V37" s="3">
        <v>0</v>
      </c>
      <c r="W37" s="4">
        <v>0</v>
      </c>
      <c r="X37" s="5">
        <f t="shared" si="0"/>
        <v>-54.469999999999914</v>
      </c>
    </row>
    <row r="38" spans="1:24" ht="13" x14ac:dyDescent="0.3">
      <c r="A38" s="2" t="s">
        <v>82</v>
      </c>
      <c r="B38" s="10" t="s">
        <v>31</v>
      </c>
      <c r="C38" s="3">
        <v>59</v>
      </c>
      <c r="D38" s="3">
        <v>85</v>
      </c>
      <c r="E38" s="4">
        <v>2250</v>
      </c>
      <c r="F38" s="4">
        <v>3638</v>
      </c>
      <c r="G38" s="4">
        <v>1886.57</v>
      </c>
      <c r="H38" s="4">
        <v>0</v>
      </c>
      <c r="I38" s="3">
        <v>0</v>
      </c>
      <c r="J38" s="3">
        <v>0</v>
      </c>
      <c r="K38" s="3">
        <v>149.84</v>
      </c>
      <c r="L38" s="3">
        <v>25</v>
      </c>
      <c r="M38" s="4">
        <v>7949.41</v>
      </c>
      <c r="N38" s="3">
        <v>317.98</v>
      </c>
      <c r="O38" s="4">
        <v>7015.47</v>
      </c>
      <c r="P38" s="4">
        <v>890.99</v>
      </c>
      <c r="Q38" s="3">
        <v>96.04</v>
      </c>
      <c r="R38" s="3">
        <v>500</v>
      </c>
      <c r="S38" s="3">
        <v>0</v>
      </c>
      <c r="T38" s="3">
        <v>0</v>
      </c>
      <c r="U38" s="4">
        <v>8002.5</v>
      </c>
      <c r="V38" s="3">
        <v>935</v>
      </c>
      <c r="W38" s="4">
        <v>0</v>
      </c>
      <c r="X38" s="5">
        <f t="shared" si="0"/>
        <v>-1806.0700000000002</v>
      </c>
    </row>
    <row r="39" spans="1:24" ht="13" x14ac:dyDescent="0.3">
      <c r="A39" s="6" t="s">
        <v>83</v>
      </c>
      <c r="B39" s="7" t="s">
        <v>54</v>
      </c>
      <c r="C39" s="7">
        <v>0</v>
      </c>
      <c r="D39" s="7">
        <v>0</v>
      </c>
      <c r="E39" s="8">
        <v>0</v>
      </c>
      <c r="F39" s="8">
        <v>0</v>
      </c>
      <c r="G39" s="8">
        <v>0</v>
      </c>
      <c r="H39" s="8">
        <v>0</v>
      </c>
      <c r="I39" s="7">
        <v>0</v>
      </c>
      <c r="J39" s="7">
        <v>0</v>
      </c>
      <c r="K39" s="8">
        <v>1135.02</v>
      </c>
      <c r="L39" s="7">
        <v>0</v>
      </c>
      <c r="M39" s="8">
        <v>1135.02</v>
      </c>
      <c r="N39" s="7">
        <v>45.4</v>
      </c>
      <c r="O39" s="8">
        <v>0</v>
      </c>
      <c r="P39" s="8">
        <v>0</v>
      </c>
      <c r="Q39" s="7">
        <v>0</v>
      </c>
      <c r="R39" s="7">
        <v>0</v>
      </c>
      <c r="S39" s="7">
        <v>0</v>
      </c>
      <c r="T39" s="7">
        <v>0</v>
      </c>
      <c r="U39" s="8">
        <v>0</v>
      </c>
      <c r="V39" s="7">
        <v>0</v>
      </c>
      <c r="W39" s="8">
        <v>0</v>
      </c>
      <c r="X39" s="9">
        <f t="shared" si="0"/>
        <v>1089.6199999999999</v>
      </c>
    </row>
    <row r="40" spans="1:24" ht="13" x14ac:dyDescent="0.3">
      <c r="A40" s="2" t="s">
        <v>84</v>
      </c>
      <c r="B40" s="3" t="s">
        <v>33</v>
      </c>
      <c r="C40" s="3">
        <v>48</v>
      </c>
      <c r="D40" s="3">
        <v>77</v>
      </c>
      <c r="E40" s="4">
        <v>1425.18</v>
      </c>
      <c r="F40" s="4">
        <v>2579.85</v>
      </c>
      <c r="G40" s="4">
        <v>1262.19</v>
      </c>
      <c r="H40" s="4">
        <v>0</v>
      </c>
      <c r="I40" s="3">
        <v>0</v>
      </c>
      <c r="J40" s="4">
        <v>0</v>
      </c>
      <c r="K40" s="4">
        <v>231.56</v>
      </c>
      <c r="L40" s="3">
        <v>91.67</v>
      </c>
      <c r="M40" s="4">
        <v>5590.45</v>
      </c>
      <c r="N40" s="3">
        <v>223.62</v>
      </c>
      <c r="O40" s="4">
        <v>4613.33</v>
      </c>
      <c r="P40" s="4">
        <v>1056.1199999999999</v>
      </c>
      <c r="Q40" s="3">
        <v>96.04</v>
      </c>
      <c r="R40" s="4">
        <v>0</v>
      </c>
      <c r="S40" s="3">
        <v>0</v>
      </c>
      <c r="T40" s="4">
        <v>0</v>
      </c>
      <c r="U40" s="4">
        <v>5765.49</v>
      </c>
      <c r="V40" s="4">
        <v>0</v>
      </c>
      <c r="W40" s="4">
        <v>600</v>
      </c>
      <c r="X40" s="9">
        <f t="shared" si="0"/>
        <v>201.34000000000003</v>
      </c>
    </row>
    <row r="41" spans="1:24" ht="13" x14ac:dyDescent="0.3">
      <c r="A41" s="2" t="s">
        <v>85</v>
      </c>
      <c r="B41" s="3" t="s">
        <v>80</v>
      </c>
      <c r="C41" s="3">
        <v>47</v>
      </c>
      <c r="D41" s="3">
        <v>89</v>
      </c>
      <c r="E41" s="4">
        <v>1775.98</v>
      </c>
      <c r="F41" s="4">
        <v>3118.6</v>
      </c>
      <c r="G41" s="4">
        <v>1478.91</v>
      </c>
      <c r="H41" s="4">
        <v>0</v>
      </c>
      <c r="I41" s="3">
        <v>51.75</v>
      </c>
      <c r="J41" s="3">
        <v>0</v>
      </c>
      <c r="K41" s="3">
        <v>372.17</v>
      </c>
      <c r="L41" s="3">
        <v>66.67</v>
      </c>
      <c r="M41" s="4">
        <v>6864.07</v>
      </c>
      <c r="N41" s="3">
        <v>274.56</v>
      </c>
      <c r="O41" s="4">
        <v>6618.34</v>
      </c>
      <c r="P41" s="4">
        <v>0</v>
      </c>
      <c r="Q41" s="3">
        <v>0</v>
      </c>
      <c r="R41" s="3">
        <v>0</v>
      </c>
      <c r="S41" s="3">
        <v>0</v>
      </c>
      <c r="T41" s="3">
        <v>0</v>
      </c>
      <c r="U41" s="4">
        <v>6618.34</v>
      </c>
      <c r="V41" s="3">
        <v>0</v>
      </c>
      <c r="W41" s="4">
        <v>0</v>
      </c>
      <c r="X41" s="5">
        <f t="shared" si="0"/>
        <v>-28.830000000000439</v>
      </c>
    </row>
    <row r="42" spans="1:24" ht="13" x14ac:dyDescent="0.3">
      <c r="A42" s="2" t="s">
        <v>86</v>
      </c>
      <c r="B42" s="3" t="s">
        <v>56</v>
      </c>
      <c r="C42" s="3">
        <v>47</v>
      </c>
      <c r="D42" s="3">
        <v>74</v>
      </c>
      <c r="E42" s="4">
        <v>1433.08</v>
      </c>
      <c r="F42" s="4">
        <v>2750.65</v>
      </c>
      <c r="G42" s="4">
        <v>1197.98</v>
      </c>
      <c r="H42" s="3">
        <v>0</v>
      </c>
      <c r="I42" s="3">
        <v>0</v>
      </c>
      <c r="J42" s="4">
        <v>0</v>
      </c>
      <c r="K42" s="4">
        <v>456.29</v>
      </c>
      <c r="L42" s="3">
        <v>25</v>
      </c>
      <c r="M42" s="4">
        <v>5863</v>
      </c>
      <c r="N42" s="3">
        <v>234.52</v>
      </c>
      <c r="O42" s="4">
        <v>3186.94</v>
      </c>
      <c r="P42" s="4">
        <v>2136.9699999999998</v>
      </c>
      <c r="Q42" s="3">
        <v>96.04</v>
      </c>
      <c r="R42" s="4">
        <v>0</v>
      </c>
      <c r="S42" s="3">
        <v>0</v>
      </c>
      <c r="T42" s="4">
        <v>0</v>
      </c>
      <c r="U42" s="4">
        <v>5419.95</v>
      </c>
      <c r="V42" s="4">
        <v>0</v>
      </c>
      <c r="W42" s="4">
        <v>0</v>
      </c>
      <c r="X42" s="9">
        <f t="shared" si="0"/>
        <v>208.53000000000017</v>
      </c>
    </row>
    <row r="43" spans="1:24" ht="13" x14ac:dyDescent="0.3">
      <c r="A43" s="6" t="s">
        <v>87</v>
      </c>
      <c r="B43" s="11" t="s">
        <v>29</v>
      </c>
      <c r="C43" s="7">
        <v>56</v>
      </c>
      <c r="D43" s="7">
        <v>75</v>
      </c>
      <c r="E43" s="8">
        <v>2283.2800000000002</v>
      </c>
      <c r="F43" s="8">
        <v>3387.54</v>
      </c>
      <c r="G43" s="8">
        <v>1474.35</v>
      </c>
      <c r="H43" s="7">
        <v>0</v>
      </c>
      <c r="I43" s="7">
        <v>0</v>
      </c>
      <c r="J43" s="7">
        <v>0</v>
      </c>
      <c r="K43" s="7">
        <v>700.17</v>
      </c>
      <c r="L43" s="7">
        <v>75</v>
      </c>
      <c r="M43" s="8">
        <v>7920.34</v>
      </c>
      <c r="N43" s="7">
        <v>316.81</v>
      </c>
      <c r="O43" s="8">
        <v>8644.6299999999992</v>
      </c>
      <c r="P43" s="8">
        <v>1182.98</v>
      </c>
      <c r="Q43" s="7">
        <v>96.04</v>
      </c>
      <c r="R43" s="7">
        <v>0</v>
      </c>
      <c r="S43" s="7">
        <v>0</v>
      </c>
      <c r="T43" s="7">
        <v>0</v>
      </c>
      <c r="U43" s="8">
        <v>9923.65</v>
      </c>
      <c r="V43" s="7">
        <v>0</v>
      </c>
      <c r="W43" s="8">
        <v>2200</v>
      </c>
      <c r="X43" s="5">
        <f t="shared" si="0"/>
        <v>-120.11999999999944</v>
      </c>
    </row>
    <row r="44" spans="1:24" ht="13" x14ac:dyDescent="0.3">
      <c r="A44" s="2" t="s">
        <v>88</v>
      </c>
      <c r="B44" s="3" t="s">
        <v>25</v>
      </c>
      <c r="C44" s="3">
        <v>21</v>
      </c>
      <c r="D44" s="3">
        <v>39</v>
      </c>
      <c r="E44" s="4">
        <v>633.1</v>
      </c>
      <c r="F44" s="4">
        <v>943.82</v>
      </c>
      <c r="G44" s="4">
        <v>944.05</v>
      </c>
      <c r="H44" s="4">
        <v>0</v>
      </c>
      <c r="I44" s="3">
        <v>0</v>
      </c>
      <c r="J44" s="3">
        <v>0</v>
      </c>
      <c r="K44" s="4">
        <v>1146.56</v>
      </c>
      <c r="L44" s="3">
        <v>25</v>
      </c>
      <c r="M44" s="4">
        <v>3692.53</v>
      </c>
      <c r="N44" s="3">
        <v>147.69999999999999</v>
      </c>
      <c r="O44" s="4">
        <v>2679.96</v>
      </c>
      <c r="P44" s="4">
        <v>0</v>
      </c>
      <c r="Q44" s="3">
        <v>96.04</v>
      </c>
      <c r="R44" s="3">
        <v>0</v>
      </c>
      <c r="S44" s="3">
        <v>0</v>
      </c>
      <c r="T44" s="3">
        <v>0</v>
      </c>
      <c r="U44" s="4">
        <v>2776</v>
      </c>
      <c r="V44" s="3">
        <v>0</v>
      </c>
      <c r="W44" s="4">
        <v>0</v>
      </c>
      <c r="X44" s="9">
        <f t="shared" si="0"/>
        <v>768.83000000000015</v>
      </c>
    </row>
    <row r="45" spans="1:24" ht="13" x14ac:dyDescent="0.3">
      <c r="A45" s="2" t="s">
        <v>89</v>
      </c>
      <c r="B45" s="3" t="s">
        <v>31</v>
      </c>
      <c r="C45" s="3">
        <v>32</v>
      </c>
      <c r="D45" s="3">
        <v>41</v>
      </c>
      <c r="E45" s="4">
        <v>1278</v>
      </c>
      <c r="F45" s="4">
        <v>1816</v>
      </c>
      <c r="G45" s="4">
        <v>882.7</v>
      </c>
      <c r="H45" s="4">
        <v>0</v>
      </c>
      <c r="I45" s="3">
        <v>0</v>
      </c>
      <c r="J45" s="4">
        <v>0</v>
      </c>
      <c r="K45" s="4">
        <v>1121.05</v>
      </c>
      <c r="L45" s="3">
        <v>0</v>
      </c>
      <c r="M45" s="4">
        <v>5097.75</v>
      </c>
      <c r="N45" s="3">
        <v>203.91</v>
      </c>
      <c r="O45" s="4">
        <v>3996.78</v>
      </c>
      <c r="P45" s="4">
        <v>281.98</v>
      </c>
      <c r="Q45" s="3">
        <v>96.04</v>
      </c>
      <c r="R45" s="4">
        <v>0</v>
      </c>
      <c r="S45" s="3">
        <v>0</v>
      </c>
      <c r="T45" s="4">
        <v>0</v>
      </c>
      <c r="U45" s="4">
        <v>4374.8</v>
      </c>
      <c r="V45" s="4">
        <v>0</v>
      </c>
      <c r="W45" s="4">
        <v>0</v>
      </c>
      <c r="X45" s="9">
        <f t="shared" si="0"/>
        <v>519.03999999999985</v>
      </c>
    </row>
    <row r="46" spans="1:24" ht="13" x14ac:dyDescent="0.3">
      <c r="A46" s="2" t="s">
        <v>90</v>
      </c>
      <c r="B46" s="3" t="s">
        <v>49</v>
      </c>
      <c r="C46" s="3">
        <v>43</v>
      </c>
      <c r="D46" s="3">
        <v>60</v>
      </c>
      <c r="E46" s="4">
        <v>1301.3</v>
      </c>
      <c r="F46" s="4">
        <v>2292.31</v>
      </c>
      <c r="G46" s="4">
        <v>1490.91</v>
      </c>
      <c r="H46" s="4">
        <v>0</v>
      </c>
      <c r="I46" s="3">
        <v>0</v>
      </c>
      <c r="J46" s="3">
        <v>0</v>
      </c>
      <c r="K46" s="3">
        <v>84.32</v>
      </c>
      <c r="L46" s="3">
        <v>16.670000000000002</v>
      </c>
      <c r="M46" s="4">
        <v>5185.51</v>
      </c>
      <c r="N46" s="3">
        <v>207.42</v>
      </c>
      <c r="O46" s="4">
        <v>3631.43</v>
      </c>
      <c r="P46" s="4">
        <v>730.98</v>
      </c>
      <c r="Q46" s="3">
        <v>96.04</v>
      </c>
      <c r="R46" s="3">
        <v>0</v>
      </c>
      <c r="S46" s="3">
        <v>0</v>
      </c>
      <c r="T46" s="3">
        <v>0</v>
      </c>
      <c r="U46" s="4">
        <v>4458.45</v>
      </c>
      <c r="V46" s="3">
        <v>0</v>
      </c>
      <c r="W46" s="4">
        <v>0</v>
      </c>
      <c r="X46" s="9">
        <f t="shared" si="0"/>
        <v>519.64000000000044</v>
      </c>
    </row>
    <row r="47" spans="1:24" ht="13" x14ac:dyDescent="0.3">
      <c r="A47" s="2" t="s">
        <v>91</v>
      </c>
      <c r="B47" s="3" t="s">
        <v>59</v>
      </c>
      <c r="C47" s="3">
        <v>24</v>
      </c>
      <c r="D47" s="3">
        <v>29</v>
      </c>
      <c r="E47" s="4">
        <v>948.5</v>
      </c>
      <c r="F47" s="4">
        <v>1410.4</v>
      </c>
      <c r="G47" s="4">
        <v>1252.82</v>
      </c>
      <c r="H47" s="3">
        <v>0</v>
      </c>
      <c r="I47" s="3">
        <v>0</v>
      </c>
      <c r="J47" s="4">
        <v>0</v>
      </c>
      <c r="K47" s="4">
        <v>734.98</v>
      </c>
      <c r="L47" s="3">
        <v>16.670000000000002</v>
      </c>
      <c r="M47" s="4">
        <v>4363.3599999999997</v>
      </c>
      <c r="N47" s="3">
        <v>174.53</v>
      </c>
      <c r="O47" s="4">
        <v>2988.5</v>
      </c>
      <c r="P47" s="4">
        <v>337.49</v>
      </c>
      <c r="Q47" s="3">
        <v>96.04</v>
      </c>
      <c r="R47" s="4">
        <v>0</v>
      </c>
      <c r="S47" s="3">
        <v>0</v>
      </c>
      <c r="T47" s="4">
        <v>0</v>
      </c>
      <c r="U47" s="4">
        <v>3422.03</v>
      </c>
      <c r="V47" s="4">
        <v>0</v>
      </c>
      <c r="W47" s="4">
        <v>0</v>
      </c>
      <c r="X47" s="9">
        <f t="shared" si="0"/>
        <v>766.7999999999995</v>
      </c>
    </row>
    <row r="48" spans="1:24" ht="13" x14ac:dyDescent="0.3">
      <c r="A48" s="2" t="s">
        <v>92</v>
      </c>
      <c r="B48" s="3" t="s">
        <v>80</v>
      </c>
      <c r="C48" s="3">
        <v>21</v>
      </c>
      <c r="D48" s="3">
        <v>36</v>
      </c>
      <c r="E48" s="4">
        <v>784.56</v>
      </c>
      <c r="F48" s="4">
        <v>1269.45</v>
      </c>
      <c r="G48" s="4">
        <v>451.24</v>
      </c>
      <c r="H48" s="4">
        <v>0</v>
      </c>
      <c r="I48" s="3">
        <v>0</v>
      </c>
      <c r="J48" s="4">
        <v>0</v>
      </c>
      <c r="K48" s="4">
        <v>68.650000000000006</v>
      </c>
      <c r="L48" s="3">
        <v>0</v>
      </c>
      <c r="M48" s="4">
        <v>2573.9</v>
      </c>
      <c r="N48" s="3">
        <v>102.96</v>
      </c>
      <c r="O48" s="4">
        <v>1204.83</v>
      </c>
      <c r="P48" s="4">
        <v>0</v>
      </c>
      <c r="Q48" s="3">
        <v>96.04</v>
      </c>
      <c r="R48" s="4">
        <v>0</v>
      </c>
      <c r="S48" s="3">
        <v>0</v>
      </c>
      <c r="T48" s="4">
        <v>0</v>
      </c>
      <c r="U48" s="4">
        <v>1300.8699999999999</v>
      </c>
      <c r="V48" s="4">
        <v>0</v>
      </c>
      <c r="W48" s="4">
        <v>0</v>
      </c>
      <c r="X48" s="9">
        <f t="shared" si="0"/>
        <v>1170.0700000000002</v>
      </c>
    </row>
    <row r="49" spans="1:24" ht="13" x14ac:dyDescent="0.3">
      <c r="A49" s="2" t="s">
        <v>93</v>
      </c>
      <c r="B49" s="3" t="s">
        <v>94</v>
      </c>
      <c r="C49" s="3">
        <v>31</v>
      </c>
      <c r="D49" s="3">
        <v>45</v>
      </c>
      <c r="E49" s="4">
        <v>1407</v>
      </c>
      <c r="F49" s="4">
        <v>2198.34</v>
      </c>
      <c r="G49" s="4">
        <v>971.72</v>
      </c>
      <c r="H49" s="4">
        <v>0</v>
      </c>
      <c r="I49" s="3">
        <v>0</v>
      </c>
      <c r="J49" s="3">
        <v>0</v>
      </c>
      <c r="K49" s="3">
        <v>197.44</v>
      </c>
      <c r="L49" s="3">
        <v>41.67</v>
      </c>
      <c r="M49" s="4">
        <v>4816.16</v>
      </c>
      <c r="N49" s="3">
        <v>192.65</v>
      </c>
      <c r="O49" s="4">
        <v>3315.22</v>
      </c>
      <c r="P49" s="4">
        <v>469</v>
      </c>
      <c r="Q49" s="3">
        <v>0</v>
      </c>
      <c r="R49" s="3">
        <v>0</v>
      </c>
      <c r="S49" s="3">
        <v>0</v>
      </c>
      <c r="T49" s="3">
        <v>0</v>
      </c>
      <c r="U49" s="4">
        <v>3784.22</v>
      </c>
      <c r="V49" s="3">
        <v>0</v>
      </c>
      <c r="W49" s="4">
        <v>0</v>
      </c>
      <c r="X49" s="9">
        <f t="shared" si="0"/>
        <v>839.29000000000008</v>
      </c>
    </row>
    <row r="50" spans="1:24" ht="13" x14ac:dyDescent="0.3">
      <c r="A50" s="2" t="s">
        <v>95</v>
      </c>
      <c r="B50" s="3" t="s">
        <v>29</v>
      </c>
      <c r="C50" s="3">
        <v>15</v>
      </c>
      <c r="D50" s="3">
        <v>27</v>
      </c>
      <c r="E50" s="4">
        <v>607.78</v>
      </c>
      <c r="F50" s="4">
        <v>1218.06</v>
      </c>
      <c r="G50" s="4">
        <v>511.64</v>
      </c>
      <c r="H50" s="3">
        <v>0</v>
      </c>
      <c r="I50" s="3">
        <v>0</v>
      </c>
      <c r="J50" s="3">
        <v>0</v>
      </c>
      <c r="K50" s="3">
        <v>27.09</v>
      </c>
      <c r="L50" s="3">
        <v>25</v>
      </c>
      <c r="M50" s="4">
        <v>2389.5700000000002</v>
      </c>
      <c r="N50" s="3">
        <v>95.58</v>
      </c>
      <c r="O50" s="4">
        <v>1972.19</v>
      </c>
      <c r="P50" s="4">
        <v>354.78</v>
      </c>
      <c r="Q50" s="3">
        <v>96.04</v>
      </c>
      <c r="R50" s="3">
        <v>0</v>
      </c>
      <c r="S50" s="3">
        <v>0</v>
      </c>
      <c r="T50" s="3">
        <v>0</v>
      </c>
      <c r="U50" s="4">
        <v>2423.0100000000002</v>
      </c>
      <c r="V50" s="3">
        <v>0</v>
      </c>
      <c r="W50" s="4">
        <v>1500</v>
      </c>
      <c r="X50" s="9">
        <f t="shared" si="0"/>
        <v>1370.98</v>
      </c>
    </row>
    <row r="51" spans="1:24" ht="13" x14ac:dyDescent="0.3">
      <c r="A51" s="2" t="s">
        <v>96</v>
      </c>
      <c r="B51" s="3" t="s">
        <v>25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3">
        <v>0</v>
      </c>
      <c r="J51" s="4">
        <v>0</v>
      </c>
      <c r="K51" s="4">
        <v>1667.4</v>
      </c>
      <c r="L51" s="3">
        <v>0</v>
      </c>
      <c r="M51" s="4">
        <v>1667.4</v>
      </c>
      <c r="N51" s="3">
        <v>66.7</v>
      </c>
      <c r="O51" s="4">
        <v>0</v>
      </c>
      <c r="P51" s="4">
        <v>0</v>
      </c>
      <c r="Q51" s="3">
        <v>0</v>
      </c>
      <c r="R51" s="4">
        <v>0</v>
      </c>
      <c r="S51" s="3">
        <v>0</v>
      </c>
      <c r="T51" s="4">
        <v>0</v>
      </c>
      <c r="U51" s="4">
        <v>0</v>
      </c>
      <c r="V51" s="4">
        <v>0</v>
      </c>
      <c r="W51" s="4">
        <v>0</v>
      </c>
      <c r="X51" s="9">
        <f t="shared" si="0"/>
        <v>1600.7</v>
      </c>
    </row>
    <row r="52" spans="1:24" ht="13" x14ac:dyDescent="0.3">
      <c r="A52" s="2" t="s">
        <v>97</v>
      </c>
      <c r="B52" s="3" t="s">
        <v>98</v>
      </c>
      <c r="C52" s="3">
        <v>63</v>
      </c>
      <c r="D52" s="3">
        <v>88</v>
      </c>
      <c r="E52" s="4">
        <v>1889.23</v>
      </c>
      <c r="F52" s="4">
        <v>3368.75</v>
      </c>
      <c r="G52" s="4">
        <v>1377.65</v>
      </c>
      <c r="H52" s="4">
        <v>0</v>
      </c>
      <c r="I52" s="3">
        <v>0</v>
      </c>
      <c r="J52" s="3">
        <v>0</v>
      </c>
      <c r="K52" s="3">
        <v>27.54</v>
      </c>
      <c r="L52" s="3">
        <v>75</v>
      </c>
      <c r="M52" s="4">
        <v>6738.17</v>
      </c>
      <c r="N52" s="3">
        <v>269.52999999999997</v>
      </c>
      <c r="O52" s="4">
        <v>6035.17</v>
      </c>
      <c r="P52" s="4">
        <v>947.48</v>
      </c>
      <c r="Q52" s="3">
        <v>96.04</v>
      </c>
      <c r="R52" s="3">
        <v>0</v>
      </c>
      <c r="S52" s="3">
        <v>0</v>
      </c>
      <c r="T52" s="3">
        <v>0</v>
      </c>
      <c r="U52" s="4">
        <v>7078.69</v>
      </c>
      <c r="V52" s="3">
        <v>0</v>
      </c>
      <c r="W52" s="4">
        <v>1200</v>
      </c>
      <c r="X52" s="9">
        <f t="shared" si="0"/>
        <v>589.9500000000005</v>
      </c>
    </row>
    <row r="53" spans="1:24" ht="13" x14ac:dyDescent="0.3">
      <c r="A53" s="2" t="s">
        <v>99</v>
      </c>
      <c r="B53" s="3" t="s">
        <v>80</v>
      </c>
      <c r="C53" s="3">
        <v>12</v>
      </c>
      <c r="D53" s="3">
        <v>19</v>
      </c>
      <c r="E53" s="4">
        <v>329.17</v>
      </c>
      <c r="F53" s="4">
        <v>525.58000000000004</v>
      </c>
      <c r="G53" s="4">
        <v>411.53</v>
      </c>
      <c r="H53" s="3">
        <v>0</v>
      </c>
      <c r="I53" s="3">
        <v>0</v>
      </c>
      <c r="J53" s="4">
        <v>0</v>
      </c>
      <c r="K53" s="4">
        <v>536.46</v>
      </c>
      <c r="L53" s="3">
        <v>0</v>
      </c>
      <c r="M53" s="4">
        <v>1802.74</v>
      </c>
      <c r="N53" s="3">
        <v>72.11</v>
      </c>
      <c r="O53" s="4">
        <v>0</v>
      </c>
      <c r="P53" s="4">
        <v>0</v>
      </c>
      <c r="Q53" s="3">
        <v>96.04</v>
      </c>
      <c r="R53" s="4">
        <v>0</v>
      </c>
      <c r="S53" s="3">
        <v>0</v>
      </c>
      <c r="T53" s="4">
        <v>0</v>
      </c>
      <c r="U53" s="4">
        <v>96.04</v>
      </c>
      <c r="V53" s="4">
        <v>0</v>
      </c>
      <c r="W53" s="4">
        <v>0</v>
      </c>
      <c r="X53" s="9">
        <f t="shared" si="0"/>
        <v>1634.5900000000001</v>
      </c>
    </row>
    <row r="54" spans="1:24" ht="13" x14ac:dyDescent="0.3">
      <c r="A54" s="2" t="s">
        <v>100</v>
      </c>
      <c r="B54" s="3" t="s">
        <v>31</v>
      </c>
      <c r="C54" s="3">
        <v>28</v>
      </c>
      <c r="D54" s="3">
        <v>40</v>
      </c>
      <c r="E54" s="4">
        <v>1081.8</v>
      </c>
      <c r="F54" s="4">
        <v>1726</v>
      </c>
      <c r="G54" s="4">
        <v>751.94</v>
      </c>
      <c r="H54" s="4">
        <v>0</v>
      </c>
      <c r="I54" s="3">
        <v>0</v>
      </c>
      <c r="J54" s="3">
        <v>0</v>
      </c>
      <c r="K54" s="3">
        <v>56.56</v>
      </c>
      <c r="L54" s="3">
        <v>0</v>
      </c>
      <c r="M54" s="4">
        <v>3616.3</v>
      </c>
      <c r="N54" s="3">
        <v>144.65</v>
      </c>
      <c r="O54" s="4">
        <v>2143.63</v>
      </c>
      <c r="P54" s="4">
        <v>0</v>
      </c>
      <c r="Q54" s="3">
        <v>0</v>
      </c>
      <c r="R54" s="3">
        <v>0</v>
      </c>
      <c r="S54" s="3">
        <v>0</v>
      </c>
      <c r="T54" s="3">
        <v>0</v>
      </c>
      <c r="U54" s="4">
        <v>2143.63</v>
      </c>
      <c r="V54" s="3">
        <v>0</v>
      </c>
      <c r="W54" s="4">
        <v>0</v>
      </c>
      <c r="X54" s="9">
        <f t="shared" si="0"/>
        <v>1328.02</v>
      </c>
    </row>
    <row r="55" spans="1:24" ht="13" x14ac:dyDescent="0.3">
      <c r="A55" s="2" t="s">
        <v>101</v>
      </c>
      <c r="B55" s="3" t="s">
        <v>102</v>
      </c>
      <c r="C55" s="3">
        <v>13</v>
      </c>
      <c r="D55" s="3">
        <v>24</v>
      </c>
      <c r="E55" s="4">
        <v>430.86</v>
      </c>
      <c r="F55" s="4">
        <v>889.53</v>
      </c>
      <c r="G55" s="4">
        <v>321.82</v>
      </c>
      <c r="H55" s="3">
        <v>0</v>
      </c>
      <c r="I55" s="3">
        <v>0</v>
      </c>
      <c r="J55" s="3">
        <v>0</v>
      </c>
      <c r="K55" s="3">
        <v>171.83</v>
      </c>
      <c r="L55" s="3">
        <v>41.67</v>
      </c>
      <c r="M55" s="4">
        <v>1855.7</v>
      </c>
      <c r="N55" s="3">
        <v>74.23</v>
      </c>
      <c r="O55" s="4">
        <v>0</v>
      </c>
      <c r="P55" s="4">
        <v>0</v>
      </c>
      <c r="Q55" s="3">
        <v>96.04</v>
      </c>
      <c r="R55" s="3">
        <v>500</v>
      </c>
      <c r="S55" s="3">
        <v>0</v>
      </c>
      <c r="T55" s="3">
        <v>0</v>
      </c>
      <c r="U55" s="4">
        <v>96.04</v>
      </c>
      <c r="V55" s="3">
        <v>935</v>
      </c>
      <c r="W55" s="4">
        <v>0</v>
      </c>
      <c r="X55" s="9">
        <f t="shared" si="0"/>
        <v>250.43000000000006</v>
      </c>
    </row>
    <row r="56" spans="1:24" ht="13" x14ac:dyDescent="0.3">
      <c r="A56" s="2" t="s">
        <v>103</v>
      </c>
      <c r="B56" s="3" t="s">
        <v>31</v>
      </c>
      <c r="C56" s="3">
        <v>86</v>
      </c>
      <c r="D56" s="3">
        <v>129</v>
      </c>
      <c r="E56" s="4">
        <v>3403.8</v>
      </c>
      <c r="F56" s="4">
        <v>5706</v>
      </c>
      <c r="G56" s="4">
        <v>2519.42</v>
      </c>
      <c r="H56" s="3">
        <v>0</v>
      </c>
      <c r="I56" s="3">
        <v>0</v>
      </c>
      <c r="J56" s="4">
        <v>0</v>
      </c>
      <c r="K56" s="4">
        <v>140.25</v>
      </c>
      <c r="L56" s="3">
        <v>66.67</v>
      </c>
      <c r="M56" s="4">
        <v>11836.14</v>
      </c>
      <c r="N56" s="3">
        <v>473.45</v>
      </c>
      <c r="O56" s="4">
        <v>6532.52</v>
      </c>
      <c r="P56" s="4">
        <v>4673.29</v>
      </c>
      <c r="Q56" s="3">
        <v>96.04</v>
      </c>
      <c r="R56" s="4">
        <v>0</v>
      </c>
      <c r="S56" s="3">
        <v>218.99</v>
      </c>
      <c r="T56" s="4">
        <v>0</v>
      </c>
      <c r="U56" s="4">
        <v>11520.84</v>
      </c>
      <c r="V56" s="4">
        <v>0</v>
      </c>
      <c r="W56" s="3">
        <v>0</v>
      </c>
      <c r="X56" s="5">
        <f t="shared" si="0"/>
        <v>-158.15000000000072</v>
      </c>
    </row>
    <row r="57" spans="1:24" ht="13" x14ac:dyDescent="0.3">
      <c r="A57" s="2" t="s">
        <v>104</v>
      </c>
      <c r="B57" s="3" t="s">
        <v>59</v>
      </c>
      <c r="C57" s="3">
        <v>102</v>
      </c>
      <c r="D57" s="3">
        <v>134</v>
      </c>
      <c r="E57" s="4">
        <v>3842.99</v>
      </c>
      <c r="F57" s="4">
        <v>6123.01</v>
      </c>
      <c r="G57" s="4">
        <v>2864.21</v>
      </c>
      <c r="H57" s="3">
        <v>0</v>
      </c>
      <c r="I57" s="3">
        <v>0</v>
      </c>
      <c r="J57" s="4">
        <v>0</v>
      </c>
      <c r="K57" s="4">
        <v>512.33000000000004</v>
      </c>
      <c r="L57" s="3">
        <v>41.67</v>
      </c>
      <c r="M57" s="4">
        <v>13384.2</v>
      </c>
      <c r="N57" s="3">
        <v>535.37</v>
      </c>
      <c r="O57" s="4">
        <v>8547.85</v>
      </c>
      <c r="P57" s="4">
        <v>4341.8599999999997</v>
      </c>
      <c r="Q57" s="3">
        <v>96.04</v>
      </c>
      <c r="R57" s="4">
        <v>500</v>
      </c>
      <c r="S57" s="3">
        <v>0</v>
      </c>
      <c r="T57" s="4">
        <v>0</v>
      </c>
      <c r="U57" s="4">
        <v>12985.75</v>
      </c>
      <c r="V57" s="4">
        <v>935</v>
      </c>
      <c r="W57" s="3">
        <v>0</v>
      </c>
      <c r="X57" s="5">
        <f t="shared" si="0"/>
        <v>-1571.9199999999992</v>
      </c>
    </row>
    <row r="58" spans="1:24" ht="13" x14ac:dyDescent="0.3">
      <c r="A58" s="2" t="s">
        <v>105</v>
      </c>
      <c r="B58" s="3" t="s">
        <v>42</v>
      </c>
      <c r="C58" s="3">
        <v>93</v>
      </c>
      <c r="D58" s="3">
        <v>123</v>
      </c>
      <c r="E58" s="4">
        <v>2834.21</v>
      </c>
      <c r="F58" s="4">
        <v>3579.11</v>
      </c>
      <c r="G58" s="4">
        <v>2474.69</v>
      </c>
      <c r="H58" s="4">
        <v>0</v>
      </c>
      <c r="I58" s="3">
        <v>0</v>
      </c>
      <c r="J58" s="3">
        <v>0</v>
      </c>
      <c r="K58" s="3">
        <v>796.94</v>
      </c>
      <c r="L58" s="3">
        <v>191.67</v>
      </c>
      <c r="M58" s="4">
        <v>9876.6200000000008</v>
      </c>
      <c r="N58" s="3">
        <v>395.06</v>
      </c>
      <c r="O58" s="4">
        <v>2812.11</v>
      </c>
      <c r="P58" s="4">
        <v>5957.92</v>
      </c>
      <c r="Q58" s="3">
        <v>96.04</v>
      </c>
      <c r="R58" s="3">
        <v>0</v>
      </c>
      <c r="S58" s="3">
        <v>0</v>
      </c>
      <c r="T58" s="3">
        <v>0</v>
      </c>
      <c r="U58" s="4">
        <v>8866.07</v>
      </c>
      <c r="V58" s="3">
        <v>0</v>
      </c>
      <c r="W58" s="4">
        <v>0</v>
      </c>
      <c r="X58" s="9">
        <f t="shared" si="0"/>
        <v>615.49000000000115</v>
      </c>
    </row>
    <row r="59" spans="1:24" ht="13" x14ac:dyDescent="0.3">
      <c r="A59" s="6" t="s">
        <v>106</v>
      </c>
      <c r="B59" s="7" t="s">
        <v>54</v>
      </c>
      <c r="C59" s="7">
        <v>30</v>
      </c>
      <c r="D59" s="7">
        <v>36</v>
      </c>
      <c r="E59" s="8">
        <v>1229.24</v>
      </c>
      <c r="F59" s="8">
        <v>1387.26</v>
      </c>
      <c r="G59" s="8">
        <v>664.54</v>
      </c>
      <c r="H59" s="8">
        <v>0</v>
      </c>
      <c r="I59" s="8">
        <v>0</v>
      </c>
      <c r="J59" s="8">
        <v>0</v>
      </c>
      <c r="K59" s="8">
        <v>288.86</v>
      </c>
      <c r="L59" s="7">
        <v>112.5</v>
      </c>
      <c r="M59" s="8">
        <v>3682.4</v>
      </c>
      <c r="N59" s="7">
        <v>147.30000000000001</v>
      </c>
      <c r="O59" s="8">
        <v>1066.49</v>
      </c>
      <c r="P59" s="8">
        <v>485.99</v>
      </c>
      <c r="Q59" s="8">
        <v>0</v>
      </c>
      <c r="R59" s="8">
        <v>0</v>
      </c>
      <c r="S59" s="8">
        <v>0</v>
      </c>
      <c r="T59" s="8">
        <v>0</v>
      </c>
      <c r="U59" s="8">
        <v>1552.48</v>
      </c>
      <c r="V59" s="8">
        <v>0</v>
      </c>
      <c r="W59" s="8">
        <v>0</v>
      </c>
      <c r="X59" s="9">
        <f t="shared" si="0"/>
        <v>1982.6200000000001</v>
      </c>
    </row>
    <row r="60" spans="1:24" ht="13" x14ac:dyDescent="0.3">
      <c r="A60" s="2" t="s">
        <v>107</v>
      </c>
      <c r="B60" s="3" t="s">
        <v>27</v>
      </c>
      <c r="C60" s="3">
        <v>43</v>
      </c>
      <c r="D60" s="3">
        <v>56</v>
      </c>
      <c r="E60" s="4">
        <v>1373.89</v>
      </c>
      <c r="F60" s="4">
        <v>2050.1999999999998</v>
      </c>
      <c r="G60" s="4">
        <v>1395.81</v>
      </c>
      <c r="H60" s="3">
        <v>0</v>
      </c>
      <c r="I60" s="3">
        <v>0</v>
      </c>
      <c r="J60" s="3">
        <v>0</v>
      </c>
      <c r="K60" s="4">
        <v>1309.17</v>
      </c>
      <c r="L60" s="3">
        <v>0</v>
      </c>
      <c r="M60" s="4">
        <v>6129.07</v>
      </c>
      <c r="N60" s="3">
        <v>245.16</v>
      </c>
      <c r="O60" s="4">
        <v>3444.12</v>
      </c>
      <c r="P60" s="4">
        <v>811.97</v>
      </c>
      <c r="Q60" s="3">
        <v>96.04</v>
      </c>
      <c r="R60" s="3">
        <v>0</v>
      </c>
      <c r="S60" s="3">
        <v>0</v>
      </c>
      <c r="T60" s="3">
        <v>0</v>
      </c>
      <c r="U60" s="4">
        <v>4352.13</v>
      </c>
      <c r="V60" s="3">
        <v>0</v>
      </c>
      <c r="W60" s="4">
        <v>0</v>
      </c>
      <c r="X60" s="9">
        <f t="shared" si="0"/>
        <v>1531.7799999999995</v>
      </c>
    </row>
    <row r="61" spans="1:24" ht="13" x14ac:dyDescent="0.3">
      <c r="A61" s="2" t="s">
        <v>108</v>
      </c>
      <c r="B61" s="3" t="s">
        <v>109</v>
      </c>
      <c r="C61" s="3">
        <v>52</v>
      </c>
      <c r="D61" s="3">
        <v>76</v>
      </c>
      <c r="E61" s="4">
        <v>1942.42</v>
      </c>
      <c r="F61" s="4">
        <v>3287.25</v>
      </c>
      <c r="G61" s="4">
        <v>1831.95</v>
      </c>
      <c r="H61" s="4">
        <v>0</v>
      </c>
      <c r="I61" s="3">
        <v>0</v>
      </c>
      <c r="J61" s="4">
        <v>0</v>
      </c>
      <c r="K61" s="4">
        <v>711.88</v>
      </c>
      <c r="L61" s="3">
        <v>108.33</v>
      </c>
      <c r="M61" s="4">
        <v>7881.83</v>
      </c>
      <c r="N61" s="3">
        <v>315.27</v>
      </c>
      <c r="O61" s="4">
        <v>2299.0100000000002</v>
      </c>
      <c r="P61" s="4">
        <v>3913.27</v>
      </c>
      <c r="Q61" s="3">
        <v>96.04</v>
      </c>
      <c r="R61" s="4">
        <v>0</v>
      </c>
      <c r="S61" s="3">
        <v>0</v>
      </c>
      <c r="T61" s="4">
        <v>0</v>
      </c>
      <c r="U61" s="4">
        <v>6308.32</v>
      </c>
      <c r="V61" s="4">
        <v>0</v>
      </c>
      <c r="W61" s="4">
        <v>0</v>
      </c>
      <c r="X61" s="9">
        <f t="shared" si="0"/>
        <v>1258.2400000000002</v>
      </c>
    </row>
    <row r="62" spans="1:24" ht="13" x14ac:dyDescent="0.3">
      <c r="A62" s="2" t="s">
        <v>110</v>
      </c>
      <c r="B62" s="3" t="s">
        <v>80</v>
      </c>
      <c r="C62" s="3">
        <v>58</v>
      </c>
      <c r="D62" s="3">
        <v>93</v>
      </c>
      <c r="E62" s="4">
        <v>1486.4</v>
      </c>
      <c r="F62" s="4">
        <v>2502.1</v>
      </c>
      <c r="G62" s="4">
        <v>1025.27</v>
      </c>
      <c r="H62" s="3">
        <v>0</v>
      </c>
      <c r="I62" s="3">
        <v>111.5</v>
      </c>
      <c r="J62" s="4">
        <v>0</v>
      </c>
      <c r="K62" s="4">
        <v>1598.53</v>
      </c>
      <c r="L62" s="3">
        <v>91.67</v>
      </c>
      <c r="M62" s="4">
        <v>6815.46</v>
      </c>
      <c r="N62" s="3">
        <v>272.62</v>
      </c>
      <c r="O62" s="4">
        <v>5881.27</v>
      </c>
      <c r="P62" s="4">
        <v>0</v>
      </c>
      <c r="Q62" s="3">
        <v>96.04</v>
      </c>
      <c r="R62" s="4">
        <v>0</v>
      </c>
      <c r="S62" s="3">
        <v>0</v>
      </c>
      <c r="T62" s="4">
        <v>0</v>
      </c>
      <c r="U62" s="4">
        <v>5977.31</v>
      </c>
      <c r="V62" s="4">
        <v>0</v>
      </c>
      <c r="W62" s="4">
        <v>1000</v>
      </c>
      <c r="X62" s="9">
        <f t="shared" si="0"/>
        <v>1565.5299999999997</v>
      </c>
    </row>
    <row r="63" spans="1:24" ht="13" x14ac:dyDescent="0.3">
      <c r="A63" s="2" t="s">
        <v>111</v>
      </c>
      <c r="B63" s="3" t="s">
        <v>112</v>
      </c>
      <c r="C63" s="3">
        <v>55</v>
      </c>
      <c r="D63" s="3">
        <v>87</v>
      </c>
      <c r="E63" s="4">
        <v>2102.1</v>
      </c>
      <c r="F63" s="4">
        <v>3755.5</v>
      </c>
      <c r="G63" s="4">
        <v>1787.05</v>
      </c>
      <c r="H63" s="4">
        <v>0</v>
      </c>
      <c r="I63" s="3">
        <v>0</v>
      </c>
      <c r="J63" s="3">
        <v>0</v>
      </c>
      <c r="K63" s="3">
        <v>49.18</v>
      </c>
      <c r="L63" s="3">
        <v>50</v>
      </c>
      <c r="M63" s="4">
        <v>7743.83</v>
      </c>
      <c r="N63" s="3">
        <v>309.75</v>
      </c>
      <c r="O63" s="4">
        <v>4587.2</v>
      </c>
      <c r="P63" s="4">
        <v>1388.7</v>
      </c>
      <c r="Q63" s="3">
        <v>0</v>
      </c>
      <c r="R63" s="3">
        <v>0</v>
      </c>
      <c r="S63" s="3">
        <v>0</v>
      </c>
      <c r="T63" s="3">
        <v>0</v>
      </c>
      <c r="U63" s="4">
        <v>5975.9</v>
      </c>
      <c r="V63" s="3">
        <v>0</v>
      </c>
      <c r="W63" s="4">
        <v>0</v>
      </c>
      <c r="X63" s="9">
        <f t="shared" si="0"/>
        <v>1458.1800000000003</v>
      </c>
    </row>
    <row r="64" spans="1:24" ht="13" x14ac:dyDescent="0.3">
      <c r="A64" s="2" t="s">
        <v>113</v>
      </c>
      <c r="B64" s="3" t="s">
        <v>72</v>
      </c>
      <c r="C64" s="3">
        <v>46</v>
      </c>
      <c r="D64" s="3">
        <v>63</v>
      </c>
      <c r="E64" s="4">
        <v>1755.78</v>
      </c>
      <c r="F64" s="4">
        <v>2678.03</v>
      </c>
      <c r="G64" s="4">
        <v>1308.3</v>
      </c>
      <c r="H64" s="3">
        <v>0</v>
      </c>
      <c r="I64" s="3">
        <v>52</v>
      </c>
      <c r="J64" s="3">
        <v>0</v>
      </c>
      <c r="K64" s="3">
        <v>195.62</v>
      </c>
      <c r="L64" s="3">
        <v>50</v>
      </c>
      <c r="M64" s="4">
        <v>6039.73</v>
      </c>
      <c r="N64" s="3">
        <v>241.59</v>
      </c>
      <c r="O64" s="4">
        <v>3378.44</v>
      </c>
      <c r="P64" s="4">
        <v>425.99</v>
      </c>
      <c r="Q64" s="3">
        <v>96.04</v>
      </c>
      <c r="R64" s="3">
        <v>0</v>
      </c>
      <c r="S64" s="3">
        <v>0</v>
      </c>
      <c r="T64" s="3">
        <v>0</v>
      </c>
      <c r="U64" s="4">
        <v>3900.47</v>
      </c>
      <c r="V64" s="3">
        <v>0</v>
      </c>
      <c r="W64" s="4">
        <v>0</v>
      </c>
      <c r="X64" s="9">
        <f t="shared" si="0"/>
        <v>1897.6699999999998</v>
      </c>
    </row>
    <row r="65" spans="1:24" ht="13" x14ac:dyDescent="0.3">
      <c r="A65" s="2" t="s">
        <v>114</v>
      </c>
      <c r="B65" s="3" t="s">
        <v>27</v>
      </c>
      <c r="C65" s="3">
        <v>48</v>
      </c>
      <c r="D65" s="3">
        <v>66</v>
      </c>
      <c r="E65" s="4">
        <v>1675.19</v>
      </c>
      <c r="F65" s="4">
        <v>2644.2</v>
      </c>
      <c r="G65" s="4">
        <v>1631.74</v>
      </c>
      <c r="H65" s="4">
        <v>0</v>
      </c>
      <c r="I65" s="3">
        <v>0</v>
      </c>
      <c r="J65" s="3">
        <v>0</v>
      </c>
      <c r="K65" s="3">
        <v>325.02</v>
      </c>
      <c r="L65" s="3">
        <v>83.33</v>
      </c>
      <c r="M65" s="4">
        <v>6359.48</v>
      </c>
      <c r="N65" s="3">
        <v>254.38</v>
      </c>
      <c r="O65" s="4">
        <v>2621.65</v>
      </c>
      <c r="P65" s="4">
        <v>1576.98</v>
      </c>
      <c r="Q65" s="3">
        <v>0</v>
      </c>
      <c r="R65" s="3">
        <v>0</v>
      </c>
      <c r="S65" s="3">
        <v>0</v>
      </c>
      <c r="T65" s="3">
        <v>0</v>
      </c>
      <c r="U65" s="4">
        <v>4198.63</v>
      </c>
      <c r="V65" s="3">
        <v>0</v>
      </c>
      <c r="W65" s="4">
        <v>0</v>
      </c>
      <c r="X65" s="9">
        <f t="shared" si="0"/>
        <v>1906.4699999999993</v>
      </c>
    </row>
    <row r="66" spans="1:24" ht="13" x14ac:dyDescent="0.3">
      <c r="A66" s="2" t="s">
        <v>115</v>
      </c>
      <c r="B66" s="3" t="s">
        <v>80</v>
      </c>
      <c r="C66" s="3">
        <v>79</v>
      </c>
      <c r="D66" s="3">
        <v>127</v>
      </c>
      <c r="E66" s="4">
        <v>2292.62</v>
      </c>
      <c r="F66" s="4">
        <v>3670.63</v>
      </c>
      <c r="G66" s="4">
        <v>1309.78</v>
      </c>
      <c r="H66" s="3">
        <v>0</v>
      </c>
      <c r="I66" s="3">
        <v>104.5</v>
      </c>
      <c r="J66" s="3">
        <v>0</v>
      </c>
      <c r="K66" s="4">
        <v>1609.94</v>
      </c>
      <c r="L66" s="3">
        <v>50</v>
      </c>
      <c r="M66" s="4">
        <v>9037.4699999999993</v>
      </c>
      <c r="N66" s="3">
        <v>361.5</v>
      </c>
      <c r="O66" s="4">
        <v>6847.22</v>
      </c>
      <c r="P66" s="3">
        <v>346</v>
      </c>
      <c r="Q66" s="3">
        <v>96.04</v>
      </c>
      <c r="R66" s="3">
        <v>0</v>
      </c>
      <c r="S66" s="3">
        <v>0</v>
      </c>
      <c r="T66" s="3">
        <v>0</v>
      </c>
      <c r="U66" s="4">
        <v>7289.26</v>
      </c>
      <c r="V66" s="3">
        <v>0</v>
      </c>
      <c r="W66" s="4">
        <v>0</v>
      </c>
      <c r="X66" s="9">
        <f t="shared" si="0"/>
        <v>1386.7099999999991</v>
      </c>
    </row>
    <row r="67" spans="1:24" ht="13" x14ac:dyDescent="0.3">
      <c r="A67" s="2" t="s">
        <v>116</v>
      </c>
      <c r="B67" s="3" t="s">
        <v>117</v>
      </c>
      <c r="C67" s="3">
        <v>86</v>
      </c>
      <c r="D67" s="3">
        <v>138</v>
      </c>
      <c r="E67" s="4">
        <v>2913.42</v>
      </c>
      <c r="F67" s="4">
        <v>5132.7700000000004</v>
      </c>
      <c r="G67" s="4">
        <v>2965.95</v>
      </c>
      <c r="H67" s="4">
        <v>0</v>
      </c>
      <c r="I67" s="3">
        <v>0</v>
      </c>
      <c r="J67" s="4">
        <v>0</v>
      </c>
      <c r="K67" s="4">
        <v>794.27</v>
      </c>
      <c r="L67" s="3">
        <v>158.33000000000001</v>
      </c>
      <c r="M67" s="4">
        <v>11964.74</v>
      </c>
      <c r="N67" s="3">
        <v>478.59</v>
      </c>
      <c r="O67" s="4">
        <v>10438.18</v>
      </c>
      <c r="P67" s="4">
        <v>0</v>
      </c>
      <c r="Q67" s="3">
        <v>96.04</v>
      </c>
      <c r="R67" s="4">
        <v>0</v>
      </c>
      <c r="S67" s="3">
        <v>0</v>
      </c>
      <c r="T67" s="4">
        <v>0</v>
      </c>
      <c r="U67" s="4">
        <v>10534.22</v>
      </c>
      <c r="V67" s="4">
        <v>0</v>
      </c>
      <c r="W67" s="4">
        <v>0</v>
      </c>
      <c r="X67" s="9">
        <f t="shared" si="0"/>
        <v>951.93000000000052</v>
      </c>
    </row>
    <row r="68" spans="1:24" ht="13" x14ac:dyDescent="0.3">
      <c r="A68" s="6" t="s">
        <v>118</v>
      </c>
      <c r="B68" s="7" t="s">
        <v>94</v>
      </c>
      <c r="C68" s="7">
        <v>33</v>
      </c>
      <c r="D68" s="7">
        <v>47</v>
      </c>
      <c r="E68" s="8">
        <v>1470</v>
      </c>
      <c r="F68" s="8">
        <v>2227.5</v>
      </c>
      <c r="G68" s="8">
        <v>725.08</v>
      </c>
      <c r="H68" s="8">
        <v>0</v>
      </c>
      <c r="I68" s="7">
        <v>0</v>
      </c>
      <c r="J68" s="7">
        <v>0</v>
      </c>
      <c r="K68" s="7">
        <v>13.25</v>
      </c>
      <c r="L68" s="7">
        <v>16.670000000000002</v>
      </c>
      <c r="M68" s="8">
        <v>4452.49</v>
      </c>
      <c r="N68" s="7">
        <v>178.1</v>
      </c>
      <c r="O68" s="8">
        <v>1592.47</v>
      </c>
      <c r="P68" s="8">
        <v>181.99</v>
      </c>
      <c r="Q68" s="7">
        <v>0</v>
      </c>
      <c r="R68" s="7">
        <v>0</v>
      </c>
      <c r="S68" s="7">
        <v>0</v>
      </c>
      <c r="T68" s="7">
        <v>0</v>
      </c>
      <c r="U68" s="8">
        <v>1774.46</v>
      </c>
      <c r="V68" s="7">
        <v>0</v>
      </c>
      <c r="W68" s="8">
        <v>0</v>
      </c>
      <c r="X68" s="9">
        <f t="shared" si="0"/>
        <v>2499.9299999999998</v>
      </c>
    </row>
    <row r="69" spans="1:24" ht="13" x14ac:dyDescent="0.3">
      <c r="A69" s="2" t="s">
        <v>119</v>
      </c>
      <c r="B69" s="3" t="s">
        <v>27</v>
      </c>
      <c r="C69" s="3">
        <v>53</v>
      </c>
      <c r="D69" s="3">
        <v>82</v>
      </c>
      <c r="E69" s="4">
        <v>1727.03</v>
      </c>
      <c r="F69" s="4">
        <v>3028.84</v>
      </c>
      <c r="G69" s="4">
        <v>1919.06</v>
      </c>
      <c r="H69" s="3">
        <v>0</v>
      </c>
      <c r="I69" s="3">
        <v>0</v>
      </c>
      <c r="J69" s="3">
        <v>0</v>
      </c>
      <c r="K69" s="4">
        <v>1521.99</v>
      </c>
      <c r="L69" s="3">
        <v>41.67</v>
      </c>
      <c r="M69" s="4">
        <v>8238.59</v>
      </c>
      <c r="N69" s="3">
        <v>329.54</v>
      </c>
      <c r="O69" s="4">
        <v>5815.52</v>
      </c>
      <c r="P69" s="4">
        <v>1025.55</v>
      </c>
      <c r="Q69" s="3">
        <v>96.04</v>
      </c>
      <c r="R69" s="3">
        <v>0</v>
      </c>
      <c r="S69" s="3">
        <v>0</v>
      </c>
      <c r="T69" s="3">
        <v>0</v>
      </c>
      <c r="U69" s="4">
        <v>6937.11</v>
      </c>
      <c r="V69" s="3">
        <v>0</v>
      </c>
      <c r="W69" s="4">
        <v>900</v>
      </c>
      <c r="X69" s="9">
        <f t="shared" si="0"/>
        <v>1871.9400000000005</v>
      </c>
    </row>
    <row r="70" spans="1:24" ht="13" x14ac:dyDescent="0.3">
      <c r="A70" s="2" t="s">
        <v>120</v>
      </c>
      <c r="B70" s="3" t="s">
        <v>59</v>
      </c>
      <c r="C70" s="3">
        <v>68</v>
      </c>
      <c r="D70" s="3">
        <v>111</v>
      </c>
      <c r="E70" s="4">
        <v>2702</v>
      </c>
      <c r="F70" s="4">
        <v>5454.55</v>
      </c>
      <c r="G70" s="4">
        <v>1984.33</v>
      </c>
      <c r="H70" s="4">
        <v>0</v>
      </c>
      <c r="I70" s="3">
        <v>0</v>
      </c>
      <c r="J70" s="3">
        <v>0</v>
      </c>
      <c r="K70" s="3">
        <v>290.35000000000002</v>
      </c>
      <c r="L70" s="3">
        <v>108.33</v>
      </c>
      <c r="M70" s="4">
        <v>10539.57</v>
      </c>
      <c r="N70" s="3">
        <v>421.58</v>
      </c>
      <c r="O70" s="4">
        <v>5852.23</v>
      </c>
      <c r="P70" s="4">
        <v>3167.74</v>
      </c>
      <c r="Q70" s="3">
        <v>96.04</v>
      </c>
      <c r="R70" s="3">
        <v>0</v>
      </c>
      <c r="S70" s="3">
        <v>0</v>
      </c>
      <c r="T70" s="3">
        <v>0</v>
      </c>
      <c r="U70" s="4">
        <v>9116.01</v>
      </c>
      <c r="V70" s="3">
        <v>0</v>
      </c>
      <c r="W70" s="4">
        <v>600</v>
      </c>
      <c r="X70" s="9">
        <f t="shared" si="0"/>
        <v>1601.9799999999996</v>
      </c>
    </row>
    <row r="71" spans="1:24" ht="13" x14ac:dyDescent="0.3">
      <c r="A71" s="2" t="s">
        <v>121</v>
      </c>
      <c r="B71" s="3" t="s">
        <v>117</v>
      </c>
      <c r="C71" s="3">
        <v>81</v>
      </c>
      <c r="D71" s="3">
        <v>119</v>
      </c>
      <c r="E71" s="4">
        <v>2933.7</v>
      </c>
      <c r="F71" s="4">
        <v>4710.6000000000004</v>
      </c>
      <c r="G71" s="4">
        <v>2626.85</v>
      </c>
      <c r="H71" s="4">
        <v>0</v>
      </c>
      <c r="I71" s="3">
        <v>0</v>
      </c>
      <c r="J71" s="4">
        <v>0</v>
      </c>
      <c r="K71" s="4">
        <v>138.21</v>
      </c>
      <c r="L71" s="3">
        <v>108.33</v>
      </c>
      <c r="M71" s="4">
        <v>10517.69</v>
      </c>
      <c r="N71" s="4">
        <v>420.71</v>
      </c>
      <c r="O71" s="4">
        <v>9094.86</v>
      </c>
      <c r="P71" s="4">
        <v>0</v>
      </c>
      <c r="Q71" s="3">
        <v>96.04</v>
      </c>
      <c r="R71" s="4">
        <v>0</v>
      </c>
      <c r="S71" s="3">
        <v>0</v>
      </c>
      <c r="T71" s="4">
        <v>0</v>
      </c>
      <c r="U71" s="4">
        <v>9190.9</v>
      </c>
      <c r="V71" s="4">
        <v>0</v>
      </c>
      <c r="W71" s="4">
        <v>900</v>
      </c>
      <c r="X71" s="9">
        <f t="shared" si="0"/>
        <v>1806.0800000000008</v>
      </c>
    </row>
    <row r="72" spans="1:24" ht="13" x14ac:dyDescent="0.3">
      <c r="A72" s="2" t="s">
        <v>122</v>
      </c>
      <c r="B72" s="3" t="s">
        <v>123</v>
      </c>
      <c r="C72" s="3">
        <v>31</v>
      </c>
      <c r="D72" s="3">
        <v>50</v>
      </c>
      <c r="E72" s="4">
        <v>1095.18</v>
      </c>
      <c r="F72" s="4">
        <v>1755.32</v>
      </c>
      <c r="G72" s="4">
        <v>990.54</v>
      </c>
      <c r="H72" s="4">
        <v>0</v>
      </c>
      <c r="I72" s="3">
        <v>0</v>
      </c>
      <c r="J72" s="3">
        <v>0</v>
      </c>
      <c r="K72" s="3">
        <v>444</v>
      </c>
      <c r="L72" s="3">
        <v>66.67</v>
      </c>
      <c r="M72" s="4">
        <v>4351.71</v>
      </c>
      <c r="N72" s="3">
        <v>174.07</v>
      </c>
      <c r="O72" s="4">
        <v>783.98</v>
      </c>
      <c r="P72" s="4">
        <v>201</v>
      </c>
      <c r="Q72" s="3">
        <v>96.04</v>
      </c>
      <c r="R72" s="3">
        <v>0</v>
      </c>
      <c r="S72" s="3">
        <v>0</v>
      </c>
      <c r="T72" s="3">
        <v>0</v>
      </c>
      <c r="U72" s="4">
        <v>1081.02</v>
      </c>
      <c r="V72" s="3">
        <v>0</v>
      </c>
      <c r="W72" s="4">
        <v>0</v>
      </c>
      <c r="X72" s="9">
        <f t="shared" si="0"/>
        <v>3096.62</v>
      </c>
    </row>
    <row r="73" spans="1:24" ht="13" x14ac:dyDescent="0.3">
      <c r="A73" s="2" t="s">
        <v>124</v>
      </c>
      <c r="B73" s="3" t="s">
        <v>59</v>
      </c>
      <c r="C73" s="3">
        <v>71</v>
      </c>
      <c r="D73" s="3">
        <v>108</v>
      </c>
      <c r="E73" s="4">
        <v>2803.5</v>
      </c>
      <c r="F73" s="4">
        <v>5323.4</v>
      </c>
      <c r="G73" s="4">
        <v>2074.44</v>
      </c>
      <c r="H73" s="3">
        <v>0</v>
      </c>
      <c r="I73" s="3">
        <v>65</v>
      </c>
      <c r="J73" s="3">
        <v>0</v>
      </c>
      <c r="K73" s="3">
        <v>62.48</v>
      </c>
      <c r="L73" s="3">
        <v>41.67</v>
      </c>
      <c r="M73" s="4">
        <v>10370.49</v>
      </c>
      <c r="N73" s="3">
        <v>414.82</v>
      </c>
      <c r="O73" s="4">
        <v>4510.83</v>
      </c>
      <c r="P73" s="4">
        <v>3380.87</v>
      </c>
      <c r="Q73" s="3">
        <v>0</v>
      </c>
      <c r="R73" s="3">
        <v>0</v>
      </c>
      <c r="S73" s="3">
        <v>0</v>
      </c>
      <c r="T73" s="3">
        <v>0</v>
      </c>
      <c r="U73" s="4">
        <v>7891.7</v>
      </c>
      <c r="V73" s="3">
        <v>0</v>
      </c>
      <c r="W73" s="4">
        <v>0</v>
      </c>
      <c r="X73" s="9">
        <f t="shared" si="0"/>
        <v>2063.9699999999998</v>
      </c>
    </row>
    <row r="74" spans="1:24" ht="13" x14ac:dyDescent="0.3">
      <c r="A74" s="2" t="s">
        <v>125</v>
      </c>
      <c r="B74" s="3" t="s">
        <v>98</v>
      </c>
      <c r="C74" s="3">
        <v>117</v>
      </c>
      <c r="D74" s="3">
        <v>162</v>
      </c>
      <c r="E74" s="4">
        <v>3444.18</v>
      </c>
      <c r="F74" s="4">
        <v>6144.25</v>
      </c>
      <c r="G74" s="4">
        <v>3061.27</v>
      </c>
      <c r="H74" s="4">
        <v>0</v>
      </c>
      <c r="I74" s="4">
        <v>0</v>
      </c>
      <c r="J74" s="4">
        <v>937.5</v>
      </c>
      <c r="K74" s="4">
        <v>99.56</v>
      </c>
      <c r="L74" s="3">
        <v>16.670000000000002</v>
      </c>
      <c r="M74" s="4">
        <v>13703.43</v>
      </c>
      <c r="N74" s="3">
        <v>548.14</v>
      </c>
      <c r="O74" s="4">
        <v>10546.62</v>
      </c>
      <c r="P74" s="4">
        <v>1050.99</v>
      </c>
      <c r="Q74" s="4">
        <v>96.04</v>
      </c>
      <c r="R74" s="4">
        <v>0</v>
      </c>
      <c r="S74" s="4">
        <v>0</v>
      </c>
      <c r="T74" s="4">
        <v>0</v>
      </c>
      <c r="U74" s="4">
        <v>11693.65</v>
      </c>
      <c r="V74" s="4">
        <v>0</v>
      </c>
      <c r="W74" s="4">
        <v>0</v>
      </c>
      <c r="X74" s="9">
        <f t="shared" si="0"/>
        <v>1461.6400000000008</v>
      </c>
    </row>
    <row r="75" spans="1:24" ht="13" x14ac:dyDescent="0.3">
      <c r="A75" s="6" t="s">
        <v>126</v>
      </c>
      <c r="B75" s="7" t="s">
        <v>40</v>
      </c>
      <c r="C75" s="7">
        <v>79</v>
      </c>
      <c r="D75" s="7">
        <v>120</v>
      </c>
      <c r="E75" s="8">
        <v>2683.34</v>
      </c>
      <c r="F75" s="8">
        <v>4456.5</v>
      </c>
      <c r="G75" s="8">
        <v>2298.54</v>
      </c>
      <c r="H75" s="7">
        <v>0</v>
      </c>
      <c r="I75" s="7">
        <v>0</v>
      </c>
      <c r="J75" s="8">
        <v>0</v>
      </c>
      <c r="K75" s="8">
        <v>209.8</v>
      </c>
      <c r="L75" s="7">
        <v>141.66999999999999</v>
      </c>
      <c r="M75" s="8">
        <v>9789.85</v>
      </c>
      <c r="N75" s="8">
        <v>391.59</v>
      </c>
      <c r="O75" s="8">
        <v>6599.37</v>
      </c>
      <c r="P75" s="8">
        <v>455.99</v>
      </c>
      <c r="Q75" s="7">
        <v>96.04</v>
      </c>
      <c r="R75" s="8">
        <v>0</v>
      </c>
      <c r="S75" s="7">
        <v>0</v>
      </c>
      <c r="T75" s="8">
        <v>0</v>
      </c>
      <c r="U75" s="8">
        <v>7151.4</v>
      </c>
      <c r="V75" s="8">
        <v>0</v>
      </c>
      <c r="W75" s="8">
        <v>0</v>
      </c>
      <c r="X75" s="9">
        <f t="shared" si="0"/>
        <v>2246.8600000000006</v>
      </c>
    </row>
    <row r="76" spans="1:24" ht="13" x14ac:dyDescent="0.3">
      <c r="A76" s="2" t="s">
        <v>127</v>
      </c>
      <c r="B76" s="3" t="s">
        <v>112</v>
      </c>
      <c r="C76" s="3">
        <v>50</v>
      </c>
      <c r="D76" s="3">
        <v>85</v>
      </c>
      <c r="E76" s="4">
        <v>1662.38</v>
      </c>
      <c r="F76" s="4">
        <v>3171.27</v>
      </c>
      <c r="G76" s="4">
        <v>1547.88</v>
      </c>
      <c r="H76" s="3">
        <v>0</v>
      </c>
      <c r="I76" s="3">
        <v>0</v>
      </c>
      <c r="J76" s="3">
        <v>0</v>
      </c>
      <c r="K76" s="4">
        <v>1351.1</v>
      </c>
      <c r="L76" s="3">
        <v>133.33000000000001</v>
      </c>
      <c r="M76" s="4">
        <v>7865.96</v>
      </c>
      <c r="N76" s="3">
        <v>314.64</v>
      </c>
      <c r="O76" s="4">
        <v>4338.84</v>
      </c>
      <c r="P76" s="4">
        <v>426.99</v>
      </c>
      <c r="Q76" s="3">
        <v>96.04</v>
      </c>
      <c r="R76" s="3">
        <v>0</v>
      </c>
      <c r="S76" s="3">
        <v>0</v>
      </c>
      <c r="T76" s="3">
        <v>0</v>
      </c>
      <c r="U76" s="4">
        <v>4861.87</v>
      </c>
      <c r="V76" s="3">
        <v>0</v>
      </c>
      <c r="W76" s="4">
        <v>0</v>
      </c>
      <c r="X76" s="9">
        <f t="shared" si="0"/>
        <v>2689.4500000000003</v>
      </c>
    </row>
    <row r="77" spans="1:24" ht="13" x14ac:dyDescent="0.3">
      <c r="A77" s="2" t="s">
        <v>128</v>
      </c>
      <c r="B77" s="3" t="s">
        <v>109</v>
      </c>
      <c r="C77" s="3">
        <v>57</v>
      </c>
      <c r="D77" s="3">
        <v>86</v>
      </c>
      <c r="E77" s="4">
        <v>2113.4</v>
      </c>
      <c r="F77" s="4">
        <v>3748</v>
      </c>
      <c r="G77" s="4">
        <v>2213.65</v>
      </c>
      <c r="H77" s="4">
        <v>0</v>
      </c>
      <c r="I77" s="3">
        <v>0</v>
      </c>
      <c r="J77" s="4">
        <v>0</v>
      </c>
      <c r="K77" s="4">
        <v>224.58</v>
      </c>
      <c r="L77" s="3">
        <v>150</v>
      </c>
      <c r="M77" s="4">
        <v>8449.6299999999992</v>
      </c>
      <c r="N77" s="3">
        <v>337.99</v>
      </c>
      <c r="O77" s="4">
        <v>3505.56</v>
      </c>
      <c r="P77" s="4">
        <v>1893.97</v>
      </c>
      <c r="Q77" s="3">
        <v>96.04</v>
      </c>
      <c r="R77" s="4">
        <v>0</v>
      </c>
      <c r="S77" s="3">
        <v>0</v>
      </c>
      <c r="T77" s="4">
        <v>0</v>
      </c>
      <c r="U77" s="4">
        <v>5495.57</v>
      </c>
      <c r="V77" s="4">
        <v>0</v>
      </c>
      <c r="W77" s="4">
        <v>0</v>
      </c>
      <c r="X77" s="9">
        <f t="shared" si="0"/>
        <v>2616.0699999999997</v>
      </c>
    </row>
    <row r="78" spans="1:24" ht="13" x14ac:dyDescent="0.3">
      <c r="A78" s="2" t="s">
        <v>129</v>
      </c>
      <c r="B78" s="3" t="s">
        <v>117</v>
      </c>
      <c r="C78" s="3">
        <v>43</v>
      </c>
      <c r="D78" s="3">
        <v>67</v>
      </c>
      <c r="E78" s="4">
        <v>1445.02</v>
      </c>
      <c r="F78" s="4">
        <v>2398.17</v>
      </c>
      <c r="G78" s="4">
        <v>1185.6400000000001</v>
      </c>
      <c r="H78" s="3">
        <v>0</v>
      </c>
      <c r="I78" s="3">
        <v>0</v>
      </c>
      <c r="J78" s="3">
        <v>0</v>
      </c>
      <c r="K78" s="3">
        <v>697.94</v>
      </c>
      <c r="L78" s="3">
        <v>75</v>
      </c>
      <c r="M78" s="4">
        <v>5801.77</v>
      </c>
      <c r="N78" s="3">
        <v>232.07</v>
      </c>
      <c r="O78" s="4">
        <v>1973.94</v>
      </c>
      <c r="P78" s="3">
        <v>0</v>
      </c>
      <c r="Q78" s="3">
        <v>96.04</v>
      </c>
      <c r="R78" s="4">
        <v>0</v>
      </c>
      <c r="S78" s="3">
        <v>0</v>
      </c>
      <c r="T78" s="4">
        <v>0</v>
      </c>
      <c r="U78" s="4">
        <v>2069.98</v>
      </c>
      <c r="V78" s="4">
        <v>0</v>
      </c>
      <c r="W78" s="4">
        <v>0</v>
      </c>
      <c r="X78" s="9">
        <f t="shared" si="0"/>
        <v>3499.7200000000003</v>
      </c>
    </row>
    <row r="79" spans="1:24" ht="13" x14ac:dyDescent="0.3">
      <c r="A79" s="2" t="s">
        <v>130</v>
      </c>
      <c r="B79" s="3" t="s">
        <v>94</v>
      </c>
      <c r="C79" s="3">
        <v>40</v>
      </c>
      <c r="D79" s="3">
        <v>67</v>
      </c>
      <c r="E79" s="4">
        <v>1810.2</v>
      </c>
      <c r="F79" s="4">
        <v>3262.78</v>
      </c>
      <c r="G79" s="4">
        <v>1423.21</v>
      </c>
      <c r="H79" s="3">
        <v>0</v>
      </c>
      <c r="I79" s="3">
        <v>0</v>
      </c>
      <c r="J79" s="4">
        <v>0</v>
      </c>
      <c r="K79" s="4">
        <v>354.63</v>
      </c>
      <c r="L79" s="3">
        <v>166.67</v>
      </c>
      <c r="M79" s="4">
        <v>7017.48</v>
      </c>
      <c r="N79" s="3">
        <v>280.7</v>
      </c>
      <c r="O79" s="4">
        <v>2040.97</v>
      </c>
      <c r="P79" s="4">
        <v>700.99</v>
      </c>
      <c r="Q79" s="3">
        <v>96.04</v>
      </c>
      <c r="R79" s="4">
        <v>0</v>
      </c>
      <c r="S79" s="3">
        <v>504.99</v>
      </c>
      <c r="T79" s="4">
        <v>0</v>
      </c>
      <c r="U79" s="4">
        <v>3342.99</v>
      </c>
      <c r="V79" s="4">
        <v>0</v>
      </c>
      <c r="W79" s="4">
        <v>0</v>
      </c>
      <c r="X79" s="9">
        <f t="shared" si="0"/>
        <v>3393.79</v>
      </c>
    </row>
    <row r="80" spans="1:24" ht="13" x14ac:dyDescent="0.3">
      <c r="A80" s="2" t="s">
        <v>131</v>
      </c>
      <c r="B80" s="3" t="s">
        <v>94</v>
      </c>
      <c r="C80" s="3">
        <v>50</v>
      </c>
      <c r="D80" s="3">
        <v>86</v>
      </c>
      <c r="E80" s="4">
        <v>2314.1999999999998</v>
      </c>
      <c r="F80" s="4">
        <v>4262.24</v>
      </c>
      <c r="G80" s="4">
        <v>1456.22</v>
      </c>
      <c r="H80" s="4">
        <v>0</v>
      </c>
      <c r="I80" s="3">
        <v>0</v>
      </c>
      <c r="J80" s="4">
        <v>0</v>
      </c>
      <c r="K80" s="4">
        <v>57.35</v>
      </c>
      <c r="L80" s="3">
        <v>66.67</v>
      </c>
      <c r="M80" s="4">
        <v>8156.68</v>
      </c>
      <c r="N80" s="3">
        <v>326.27</v>
      </c>
      <c r="O80" s="4">
        <v>4468.74</v>
      </c>
      <c r="P80" s="4">
        <v>0</v>
      </c>
      <c r="Q80" s="3">
        <v>0</v>
      </c>
      <c r="R80" s="4">
        <v>0</v>
      </c>
      <c r="S80" s="3">
        <v>0</v>
      </c>
      <c r="T80" s="4">
        <v>0</v>
      </c>
      <c r="U80" s="4">
        <v>4468.74</v>
      </c>
      <c r="V80" s="4">
        <v>0</v>
      </c>
      <c r="W80" s="4">
        <v>0</v>
      </c>
      <c r="X80" s="9">
        <f t="shared" si="0"/>
        <v>3361.6700000000005</v>
      </c>
    </row>
    <row r="81" spans="1:24" ht="13" x14ac:dyDescent="0.3">
      <c r="A81" s="6" t="s">
        <v>132</v>
      </c>
      <c r="B81" s="7" t="s">
        <v>31</v>
      </c>
      <c r="C81" s="7">
        <v>35</v>
      </c>
      <c r="D81" s="7">
        <v>68</v>
      </c>
      <c r="E81" s="8">
        <v>1510.2</v>
      </c>
      <c r="F81" s="8">
        <v>3262</v>
      </c>
      <c r="G81" s="8">
        <v>1061.6500000000001</v>
      </c>
      <c r="H81" s="7">
        <v>0</v>
      </c>
      <c r="I81" s="7">
        <v>52</v>
      </c>
      <c r="J81" s="8">
        <v>0</v>
      </c>
      <c r="K81" s="8">
        <v>13.17</v>
      </c>
      <c r="L81" s="7">
        <v>112.5</v>
      </c>
      <c r="M81" s="8">
        <v>6011.52</v>
      </c>
      <c r="N81" s="7">
        <v>240.46</v>
      </c>
      <c r="O81" s="8">
        <v>5756.76</v>
      </c>
      <c r="P81" s="8">
        <v>0</v>
      </c>
      <c r="Q81" s="7">
        <v>0</v>
      </c>
      <c r="R81" s="8">
        <v>0</v>
      </c>
      <c r="S81" s="7">
        <v>0</v>
      </c>
      <c r="T81" s="8">
        <v>0</v>
      </c>
      <c r="U81" s="8">
        <v>5756.76</v>
      </c>
      <c r="V81" s="8">
        <v>0</v>
      </c>
      <c r="W81" s="8">
        <v>3900</v>
      </c>
      <c r="X81" s="9">
        <f t="shared" si="0"/>
        <v>3914.3</v>
      </c>
    </row>
    <row r="82" spans="1:24" ht="13" x14ac:dyDescent="0.3">
      <c r="A82" s="2" t="s">
        <v>133</v>
      </c>
      <c r="B82" s="3" t="s">
        <v>65</v>
      </c>
      <c r="C82" s="3">
        <v>56</v>
      </c>
      <c r="D82" s="3">
        <v>91</v>
      </c>
      <c r="E82" s="4">
        <v>1987.74</v>
      </c>
      <c r="F82" s="4">
        <v>3437.75</v>
      </c>
      <c r="G82" s="4">
        <v>2630.42</v>
      </c>
      <c r="H82" s="4">
        <v>0</v>
      </c>
      <c r="I82" s="3">
        <v>0</v>
      </c>
      <c r="J82" s="4">
        <v>0</v>
      </c>
      <c r="K82" s="4">
        <v>703.68</v>
      </c>
      <c r="L82" s="3">
        <v>58.33</v>
      </c>
      <c r="M82" s="4">
        <v>8817.93</v>
      </c>
      <c r="N82" s="3">
        <v>352.72</v>
      </c>
      <c r="O82" s="4">
        <v>4991.5600000000004</v>
      </c>
      <c r="P82" s="4">
        <v>0</v>
      </c>
      <c r="Q82" s="3">
        <v>96.04</v>
      </c>
      <c r="R82" s="4">
        <v>500</v>
      </c>
      <c r="S82" s="3">
        <v>0</v>
      </c>
      <c r="T82" s="4">
        <v>0</v>
      </c>
      <c r="U82" s="4">
        <v>5087.6000000000004</v>
      </c>
      <c r="V82" s="4">
        <v>935</v>
      </c>
      <c r="W82" s="4">
        <v>0</v>
      </c>
      <c r="X82" s="9">
        <f t="shared" si="0"/>
        <v>1942.6099999999997</v>
      </c>
    </row>
    <row r="83" spans="1:24" ht="13" x14ac:dyDescent="0.3">
      <c r="A83" s="2" t="s">
        <v>134</v>
      </c>
      <c r="B83" s="3" t="s">
        <v>94</v>
      </c>
      <c r="C83" s="3">
        <v>58</v>
      </c>
      <c r="D83" s="3">
        <v>76</v>
      </c>
      <c r="E83" s="4">
        <v>2652.3</v>
      </c>
      <c r="F83" s="4">
        <v>3726.72</v>
      </c>
      <c r="G83" s="4">
        <v>612.4</v>
      </c>
      <c r="H83" s="3">
        <v>0</v>
      </c>
      <c r="I83" s="3">
        <v>0</v>
      </c>
      <c r="J83" s="4">
        <v>0</v>
      </c>
      <c r="K83" s="4">
        <v>23.94</v>
      </c>
      <c r="L83" s="3">
        <v>108.33</v>
      </c>
      <c r="M83" s="4">
        <v>7123.69</v>
      </c>
      <c r="N83" s="3">
        <v>284.95</v>
      </c>
      <c r="O83" s="4">
        <v>2901.75</v>
      </c>
      <c r="P83" s="3">
        <v>0</v>
      </c>
      <c r="Q83" s="3">
        <v>96.04</v>
      </c>
      <c r="R83" s="3">
        <v>0</v>
      </c>
      <c r="S83" s="3">
        <v>0</v>
      </c>
      <c r="T83" s="3">
        <v>0</v>
      </c>
      <c r="U83" s="4">
        <v>2997.79</v>
      </c>
      <c r="V83" s="3">
        <v>0</v>
      </c>
      <c r="W83" s="4">
        <v>100</v>
      </c>
      <c r="X83" s="9">
        <f t="shared" si="0"/>
        <v>3940.95</v>
      </c>
    </row>
    <row r="84" spans="1:24" ht="13" x14ac:dyDescent="0.3">
      <c r="A84" s="2" t="s">
        <v>135</v>
      </c>
      <c r="B84" s="3" t="s">
        <v>136</v>
      </c>
      <c r="C84" s="3">
        <v>73</v>
      </c>
      <c r="D84" s="3">
        <v>114</v>
      </c>
      <c r="E84" s="4">
        <v>2695.24</v>
      </c>
      <c r="F84" s="4">
        <v>5269.37</v>
      </c>
      <c r="G84" s="4">
        <v>1932.17</v>
      </c>
      <c r="H84" s="4">
        <v>0</v>
      </c>
      <c r="I84" s="3">
        <v>0</v>
      </c>
      <c r="J84" s="4">
        <v>0</v>
      </c>
      <c r="K84" s="4">
        <v>553.98</v>
      </c>
      <c r="L84" s="3">
        <v>108.33</v>
      </c>
      <c r="M84" s="4">
        <v>10559.1</v>
      </c>
      <c r="N84" s="3">
        <v>422.36</v>
      </c>
      <c r="O84" s="4">
        <v>5786.23</v>
      </c>
      <c r="P84" s="4">
        <v>996.98</v>
      </c>
      <c r="Q84" s="3">
        <v>96.04</v>
      </c>
      <c r="R84" s="4">
        <v>0</v>
      </c>
      <c r="S84" s="3">
        <v>0</v>
      </c>
      <c r="T84" s="4">
        <v>0</v>
      </c>
      <c r="U84" s="4">
        <v>6879.25</v>
      </c>
      <c r="V84" s="4">
        <v>0</v>
      </c>
      <c r="W84" s="4">
        <v>0</v>
      </c>
      <c r="X84" s="9">
        <f t="shared" si="0"/>
        <v>3257.4900000000002</v>
      </c>
    </row>
    <row r="85" spans="1:24" ht="13" x14ac:dyDescent="0.3">
      <c r="A85" s="2" t="s">
        <v>137</v>
      </c>
      <c r="B85" s="3" t="s">
        <v>29</v>
      </c>
      <c r="C85" s="3">
        <v>96</v>
      </c>
      <c r="D85" s="3">
        <v>134</v>
      </c>
      <c r="E85" s="4">
        <v>3595.21</v>
      </c>
      <c r="F85" s="4">
        <v>5487.96</v>
      </c>
      <c r="G85" s="4">
        <v>2446.3000000000002</v>
      </c>
      <c r="H85" s="3">
        <v>0</v>
      </c>
      <c r="I85" s="3">
        <v>0</v>
      </c>
      <c r="J85" s="4">
        <v>0</v>
      </c>
      <c r="K85" s="4">
        <v>1332.42</v>
      </c>
      <c r="L85" s="3">
        <v>91.67</v>
      </c>
      <c r="M85" s="4">
        <v>12953.56</v>
      </c>
      <c r="N85" s="4">
        <v>518.14</v>
      </c>
      <c r="O85" s="4">
        <v>9066.7199999999993</v>
      </c>
      <c r="P85" s="4">
        <v>357.99</v>
      </c>
      <c r="Q85" s="3">
        <v>96.04</v>
      </c>
      <c r="R85" s="4">
        <v>0</v>
      </c>
      <c r="S85" s="3">
        <v>0</v>
      </c>
      <c r="T85" s="4">
        <v>0</v>
      </c>
      <c r="U85" s="4">
        <v>9520.75</v>
      </c>
      <c r="V85" s="4">
        <v>0</v>
      </c>
      <c r="W85" s="4">
        <v>0</v>
      </c>
      <c r="X85" s="9">
        <f t="shared" si="0"/>
        <v>2914.6699999999996</v>
      </c>
    </row>
    <row r="86" spans="1:24" ht="13" x14ac:dyDescent="0.3">
      <c r="A86" s="2" t="s">
        <v>138</v>
      </c>
      <c r="B86" s="3" t="s">
        <v>31</v>
      </c>
      <c r="C86" s="3">
        <v>94</v>
      </c>
      <c r="D86" s="3">
        <v>156</v>
      </c>
      <c r="E86" s="4">
        <v>3605.32</v>
      </c>
      <c r="F86" s="4">
        <v>6631.5</v>
      </c>
      <c r="G86" s="4">
        <v>2592.67</v>
      </c>
      <c r="H86" s="4">
        <v>0</v>
      </c>
      <c r="I86" s="3">
        <v>52</v>
      </c>
      <c r="J86" s="4">
        <v>0</v>
      </c>
      <c r="K86" s="4">
        <v>631.20000000000005</v>
      </c>
      <c r="L86" s="3">
        <v>25</v>
      </c>
      <c r="M86" s="4">
        <v>13537.69</v>
      </c>
      <c r="N86" s="3">
        <v>541.51</v>
      </c>
      <c r="O86" s="4">
        <v>8368.59</v>
      </c>
      <c r="P86" s="4">
        <v>1497.98</v>
      </c>
      <c r="Q86" s="3">
        <v>96.04</v>
      </c>
      <c r="R86" s="4">
        <v>0</v>
      </c>
      <c r="S86" s="3">
        <v>0</v>
      </c>
      <c r="T86" s="4">
        <v>0</v>
      </c>
      <c r="U86" s="4">
        <v>9962.61</v>
      </c>
      <c r="V86" s="4">
        <v>0</v>
      </c>
      <c r="W86" s="4">
        <v>0</v>
      </c>
      <c r="X86" s="9">
        <f t="shared" si="0"/>
        <v>3033.5699999999997</v>
      </c>
    </row>
    <row r="87" spans="1:24" ht="13" x14ac:dyDescent="0.3">
      <c r="A87" s="2" t="s">
        <v>139</v>
      </c>
      <c r="B87" s="3" t="s">
        <v>27</v>
      </c>
      <c r="C87" s="3">
        <v>52</v>
      </c>
      <c r="D87" s="3">
        <v>69</v>
      </c>
      <c r="E87" s="4">
        <v>1599.49</v>
      </c>
      <c r="F87" s="4">
        <v>2352.13</v>
      </c>
      <c r="G87" s="4">
        <v>1889.25</v>
      </c>
      <c r="H87" s="4">
        <v>0</v>
      </c>
      <c r="I87" s="4">
        <v>0</v>
      </c>
      <c r="J87" s="4">
        <v>0</v>
      </c>
      <c r="K87" s="4">
        <v>2895.49</v>
      </c>
      <c r="L87" s="3">
        <v>83.33</v>
      </c>
      <c r="M87" s="4">
        <v>8819.7000000000007</v>
      </c>
      <c r="N87" s="3">
        <v>352.79</v>
      </c>
      <c r="O87" s="4">
        <v>4061.27</v>
      </c>
      <c r="P87" s="4">
        <v>0</v>
      </c>
      <c r="Q87" s="4">
        <v>96.04</v>
      </c>
      <c r="R87" s="4">
        <v>0</v>
      </c>
      <c r="S87" s="4">
        <v>0</v>
      </c>
      <c r="T87" s="4">
        <v>0</v>
      </c>
      <c r="U87" s="4">
        <v>4157.3100000000004</v>
      </c>
      <c r="V87" s="4">
        <v>0</v>
      </c>
      <c r="W87" s="4">
        <v>0</v>
      </c>
      <c r="X87" s="9">
        <f t="shared" si="0"/>
        <v>4309.6000000000004</v>
      </c>
    </row>
    <row r="88" spans="1:24" ht="13" x14ac:dyDescent="0.3">
      <c r="A88" s="2" t="s">
        <v>140</v>
      </c>
      <c r="B88" s="3" t="s">
        <v>65</v>
      </c>
      <c r="C88" s="3">
        <v>68</v>
      </c>
      <c r="D88" s="3">
        <v>103</v>
      </c>
      <c r="E88" s="4">
        <v>2170.36</v>
      </c>
      <c r="F88" s="4">
        <v>3578.3</v>
      </c>
      <c r="G88" s="4">
        <v>2275.2800000000002</v>
      </c>
      <c r="H88" s="4">
        <v>0</v>
      </c>
      <c r="I88" s="3">
        <v>0</v>
      </c>
      <c r="J88" s="4">
        <v>0</v>
      </c>
      <c r="K88" s="4">
        <v>1893.1</v>
      </c>
      <c r="L88" s="3">
        <v>16.670000000000002</v>
      </c>
      <c r="M88" s="4">
        <v>9933.7099999999991</v>
      </c>
      <c r="N88" s="3">
        <v>397.35</v>
      </c>
      <c r="O88" s="4">
        <v>5339.58</v>
      </c>
      <c r="P88" s="4">
        <v>0</v>
      </c>
      <c r="Q88" s="3">
        <v>96.04</v>
      </c>
      <c r="R88" s="4">
        <v>0</v>
      </c>
      <c r="S88" s="3">
        <v>0</v>
      </c>
      <c r="T88" s="4">
        <v>0</v>
      </c>
      <c r="U88" s="4">
        <v>5435.62</v>
      </c>
      <c r="V88" s="4">
        <v>0</v>
      </c>
      <c r="W88" s="4">
        <v>0</v>
      </c>
      <c r="X88" s="9">
        <f t="shared" si="0"/>
        <v>4100.7399999999989</v>
      </c>
    </row>
    <row r="89" spans="1:24" ht="13" x14ac:dyDescent="0.3">
      <c r="A89" s="6" t="s">
        <v>141</v>
      </c>
      <c r="B89" s="7" t="s">
        <v>31</v>
      </c>
      <c r="C89" s="7">
        <v>114</v>
      </c>
      <c r="D89" s="7">
        <v>175</v>
      </c>
      <c r="E89" s="8">
        <v>4451.3999999999996</v>
      </c>
      <c r="F89" s="8">
        <v>7582</v>
      </c>
      <c r="G89" s="8">
        <v>3138.48</v>
      </c>
      <c r="H89" s="8">
        <v>0</v>
      </c>
      <c r="I89" s="7">
        <v>0</v>
      </c>
      <c r="J89" s="8">
        <v>1875</v>
      </c>
      <c r="K89" s="8">
        <v>125.72</v>
      </c>
      <c r="L89" s="7">
        <v>141.66999999999999</v>
      </c>
      <c r="M89" s="8">
        <v>17314.27</v>
      </c>
      <c r="N89" s="7">
        <v>692.57</v>
      </c>
      <c r="O89" s="8">
        <v>12535.76</v>
      </c>
      <c r="P89" s="8">
        <v>1114.06</v>
      </c>
      <c r="Q89" s="7">
        <v>96.04</v>
      </c>
      <c r="R89" s="7">
        <v>500</v>
      </c>
      <c r="S89" s="7">
        <v>0</v>
      </c>
      <c r="T89" s="7">
        <v>0</v>
      </c>
      <c r="U89" s="8">
        <v>13745.86</v>
      </c>
      <c r="V89" s="7">
        <v>935</v>
      </c>
      <c r="W89" s="8">
        <v>0</v>
      </c>
      <c r="X89" s="9">
        <f t="shared" si="0"/>
        <v>1440.8399999999997</v>
      </c>
    </row>
    <row r="90" spans="1:24" ht="13" x14ac:dyDescent="0.3">
      <c r="A90" s="2" t="s">
        <v>142</v>
      </c>
      <c r="B90" s="3" t="s">
        <v>80</v>
      </c>
      <c r="C90" s="3">
        <v>81</v>
      </c>
      <c r="D90" s="3">
        <v>160</v>
      </c>
      <c r="E90" s="4">
        <v>2738.85</v>
      </c>
      <c r="F90" s="4">
        <v>5244.83</v>
      </c>
      <c r="G90" s="4">
        <v>1904.4</v>
      </c>
      <c r="H90" s="4">
        <v>0</v>
      </c>
      <c r="I90" s="3">
        <v>109.5</v>
      </c>
      <c r="J90" s="4">
        <v>937.5</v>
      </c>
      <c r="K90" s="4">
        <v>981.06</v>
      </c>
      <c r="L90" s="3">
        <v>91.67</v>
      </c>
      <c r="M90" s="4">
        <v>12007.81</v>
      </c>
      <c r="N90" s="3">
        <v>480.31</v>
      </c>
      <c r="O90" s="4">
        <v>5391.63</v>
      </c>
      <c r="P90" s="4">
        <v>1895.09</v>
      </c>
      <c r="Q90" s="3">
        <v>96.04</v>
      </c>
      <c r="R90" s="4">
        <v>0</v>
      </c>
      <c r="S90" s="3">
        <v>0</v>
      </c>
      <c r="T90" s="4">
        <v>0</v>
      </c>
      <c r="U90" s="4">
        <v>7382.76</v>
      </c>
      <c r="V90" s="4">
        <v>0</v>
      </c>
      <c r="W90" s="4">
        <v>0</v>
      </c>
      <c r="X90" s="9">
        <f t="shared" si="0"/>
        <v>4144.7399999999989</v>
      </c>
    </row>
    <row r="91" spans="1:24" ht="13" x14ac:dyDescent="0.3">
      <c r="A91" s="2" t="s">
        <v>143</v>
      </c>
      <c r="B91" s="3" t="s">
        <v>144</v>
      </c>
      <c r="C91" s="3">
        <v>87</v>
      </c>
      <c r="D91" s="3">
        <v>122</v>
      </c>
      <c r="E91" s="4">
        <v>2727.67</v>
      </c>
      <c r="F91" s="4">
        <v>5826.5</v>
      </c>
      <c r="G91" s="4">
        <v>1385.1</v>
      </c>
      <c r="H91" s="4">
        <v>1250</v>
      </c>
      <c r="I91" s="3">
        <v>0</v>
      </c>
      <c r="J91" s="4">
        <v>0</v>
      </c>
      <c r="K91" s="4">
        <v>0</v>
      </c>
      <c r="L91" s="3">
        <v>108.33</v>
      </c>
      <c r="M91" s="4">
        <v>11297.6</v>
      </c>
      <c r="N91" s="3">
        <v>451.9</v>
      </c>
      <c r="O91" s="4">
        <v>7120.41</v>
      </c>
      <c r="P91" s="4">
        <v>418.55</v>
      </c>
      <c r="Q91" s="3">
        <v>96.04</v>
      </c>
      <c r="R91" s="4">
        <v>0</v>
      </c>
      <c r="S91" s="3">
        <v>0</v>
      </c>
      <c r="T91" s="4">
        <v>0</v>
      </c>
      <c r="U91" s="4">
        <v>7635</v>
      </c>
      <c r="V91" s="4">
        <v>0</v>
      </c>
      <c r="W91" s="4">
        <v>1700</v>
      </c>
      <c r="X91" s="9">
        <f t="shared" si="0"/>
        <v>4910.7000000000007</v>
      </c>
    </row>
    <row r="92" spans="1:24" ht="13" x14ac:dyDescent="0.3">
      <c r="A92" s="2" t="s">
        <v>145</v>
      </c>
      <c r="B92" s="3" t="s">
        <v>80</v>
      </c>
      <c r="C92" s="3">
        <v>63</v>
      </c>
      <c r="D92" s="3">
        <v>119</v>
      </c>
      <c r="E92" s="4">
        <v>2196.8000000000002</v>
      </c>
      <c r="F92" s="4">
        <v>3988.94</v>
      </c>
      <c r="G92" s="4">
        <v>1612.65</v>
      </c>
      <c r="H92" s="4">
        <v>0</v>
      </c>
      <c r="I92" s="3">
        <v>40.25</v>
      </c>
      <c r="J92" s="4">
        <v>0</v>
      </c>
      <c r="K92" s="4">
        <v>662.39</v>
      </c>
      <c r="L92" s="3">
        <v>141.66999999999999</v>
      </c>
      <c r="M92" s="4">
        <v>8642.69</v>
      </c>
      <c r="N92" s="3">
        <v>345.71</v>
      </c>
      <c r="O92" s="4">
        <v>1597.99</v>
      </c>
      <c r="P92" s="4">
        <v>410</v>
      </c>
      <c r="Q92" s="3">
        <v>96.04</v>
      </c>
      <c r="R92" s="4">
        <v>0</v>
      </c>
      <c r="S92" s="3">
        <v>0</v>
      </c>
      <c r="T92" s="4">
        <v>0</v>
      </c>
      <c r="U92" s="4">
        <v>2104.0300000000002</v>
      </c>
      <c r="V92" s="4">
        <v>0</v>
      </c>
      <c r="W92" s="4">
        <v>0</v>
      </c>
      <c r="X92" s="9">
        <f t="shared" si="0"/>
        <v>6192.95</v>
      </c>
    </row>
    <row r="93" spans="1:24" ht="13" x14ac:dyDescent="0.3">
      <c r="A93" s="2" t="s">
        <v>146</v>
      </c>
      <c r="B93" s="3" t="s">
        <v>147</v>
      </c>
      <c r="C93" s="3">
        <v>80</v>
      </c>
      <c r="D93" s="3">
        <v>99</v>
      </c>
      <c r="E93" s="4">
        <v>2405.84</v>
      </c>
      <c r="F93" s="4">
        <v>4062.24</v>
      </c>
      <c r="G93" s="4">
        <v>1945.79</v>
      </c>
      <c r="H93" s="3">
        <v>0</v>
      </c>
      <c r="I93" s="3">
        <v>0</v>
      </c>
      <c r="J93" s="3">
        <v>0</v>
      </c>
      <c r="K93" s="3">
        <v>37.32</v>
      </c>
      <c r="L93" s="3">
        <v>75</v>
      </c>
      <c r="M93" s="4">
        <v>8526.19</v>
      </c>
      <c r="N93" s="3">
        <v>341.05</v>
      </c>
      <c r="O93" s="4">
        <v>4128.93</v>
      </c>
      <c r="P93" s="4">
        <v>3496.93</v>
      </c>
      <c r="Q93" s="3">
        <v>96.04</v>
      </c>
      <c r="R93" s="3">
        <v>0</v>
      </c>
      <c r="S93" s="3">
        <v>0</v>
      </c>
      <c r="T93" s="3">
        <v>0</v>
      </c>
      <c r="U93" s="4">
        <v>7721.9</v>
      </c>
      <c r="V93" s="3">
        <v>0</v>
      </c>
      <c r="W93" s="4">
        <v>6000</v>
      </c>
      <c r="X93" s="9">
        <f t="shared" si="0"/>
        <v>6463.2400000000007</v>
      </c>
    </row>
    <row r="94" spans="1:24" ht="13" x14ac:dyDescent="0.3">
      <c r="A94" s="2" t="s">
        <v>148</v>
      </c>
      <c r="B94" s="3" t="s">
        <v>80</v>
      </c>
      <c r="C94" s="3">
        <v>86</v>
      </c>
      <c r="D94" s="3">
        <v>169</v>
      </c>
      <c r="E94" s="4">
        <v>2803.68</v>
      </c>
      <c r="F94" s="4">
        <v>5367.51</v>
      </c>
      <c r="G94" s="4">
        <v>2085.54</v>
      </c>
      <c r="H94" s="4">
        <v>0</v>
      </c>
      <c r="I94" s="3">
        <v>131.75</v>
      </c>
      <c r="J94" s="3">
        <v>937.5</v>
      </c>
      <c r="K94" s="4">
        <v>1430.12</v>
      </c>
      <c r="L94" s="3">
        <v>83.33</v>
      </c>
      <c r="M94" s="4">
        <v>12839.43</v>
      </c>
      <c r="N94" s="3">
        <v>513.58000000000004</v>
      </c>
      <c r="O94" s="4">
        <v>5892.49</v>
      </c>
      <c r="P94" s="3">
        <v>236.99</v>
      </c>
      <c r="Q94" s="3">
        <v>96.04</v>
      </c>
      <c r="R94" s="4">
        <v>0</v>
      </c>
      <c r="S94" s="3">
        <v>0</v>
      </c>
      <c r="T94" s="4">
        <v>0</v>
      </c>
      <c r="U94" s="4">
        <v>6225.52</v>
      </c>
      <c r="V94" s="4">
        <v>0</v>
      </c>
      <c r="W94" s="3">
        <v>0</v>
      </c>
      <c r="X94" s="9">
        <f t="shared" si="0"/>
        <v>6100.33</v>
      </c>
    </row>
    <row r="95" spans="1:24" ht="13" x14ac:dyDescent="0.3">
      <c r="A95" s="2" t="s">
        <v>149</v>
      </c>
      <c r="B95" s="3" t="s">
        <v>31</v>
      </c>
      <c r="C95" s="3">
        <v>130</v>
      </c>
      <c r="D95" s="3">
        <v>186</v>
      </c>
      <c r="E95" s="4">
        <v>5070.33</v>
      </c>
      <c r="F95" s="4">
        <v>8001.89</v>
      </c>
      <c r="G95" s="4">
        <v>2196.64</v>
      </c>
      <c r="H95" s="3">
        <v>0</v>
      </c>
      <c r="I95" s="3">
        <v>65</v>
      </c>
      <c r="J95" s="4">
        <v>2375</v>
      </c>
      <c r="K95" s="4">
        <v>834.18</v>
      </c>
      <c r="L95" s="3">
        <v>83.33</v>
      </c>
      <c r="M95" s="4">
        <v>18626.38</v>
      </c>
      <c r="N95" s="3">
        <v>745.06</v>
      </c>
      <c r="O95" s="4">
        <v>16426.02</v>
      </c>
      <c r="P95" s="4">
        <v>1522.98</v>
      </c>
      <c r="Q95" s="3">
        <v>96.04</v>
      </c>
      <c r="R95" s="4">
        <v>0</v>
      </c>
      <c r="S95" s="3">
        <v>0</v>
      </c>
      <c r="T95" s="4">
        <v>0</v>
      </c>
      <c r="U95" s="4">
        <v>18045.04</v>
      </c>
      <c r="V95" s="4">
        <v>0</v>
      </c>
      <c r="W95" s="4">
        <v>5400</v>
      </c>
      <c r="X95" s="9">
        <f t="shared" si="0"/>
        <v>5236.2800000000007</v>
      </c>
    </row>
    <row r="96" spans="1:24" ht="13" x14ac:dyDescent="0.3">
      <c r="A96" s="2" t="s">
        <v>150</v>
      </c>
      <c r="B96" s="3" t="s">
        <v>80</v>
      </c>
      <c r="C96" s="3">
        <v>100</v>
      </c>
      <c r="D96" s="3">
        <v>182</v>
      </c>
      <c r="E96" s="4">
        <v>3268.6</v>
      </c>
      <c r="F96" s="4">
        <v>5785.23</v>
      </c>
      <c r="G96" s="4">
        <v>2465.2199999999998</v>
      </c>
      <c r="H96" s="3">
        <v>0</v>
      </c>
      <c r="I96" s="3">
        <v>120.5</v>
      </c>
      <c r="J96" s="4">
        <v>1325</v>
      </c>
      <c r="K96" s="4">
        <v>1379.71</v>
      </c>
      <c r="L96" s="3">
        <v>208.33</v>
      </c>
      <c r="M96" s="4">
        <v>14552.59</v>
      </c>
      <c r="N96" s="3">
        <v>582.1</v>
      </c>
      <c r="O96" s="4">
        <v>7177.49</v>
      </c>
      <c r="P96" s="3">
        <v>0</v>
      </c>
      <c r="Q96" s="3">
        <v>96.04</v>
      </c>
      <c r="R96" s="4">
        <v>0</v>
      </c>
      <c r="S96" s="3">
        <v>0</v>
      </c>
      <c r="T96" s="4">
        <v>0</v>
      </c>
      <c r="U96" s="4">
        <v>7273.53</v>
      </c>
      <c r="V96" s="4">
        <v>0</v>
      </c>
      <c r="W96" s="3">
        <v>400</v>
      </c>
      <c r="X96" s="9">
        <f t="shared" si="0"/>
        <v>7096.96</v>
      </c>
    </row>
    <row r="97" spans="1:24" ht="13" x14ac:dyDescent="0.3">
      <c r="A97" s="2" t="s">
        <v>151</v>
      </c>
      <c r="B97" s="3" t="s">
        <v>80</v>
      </c>
      <c r="C97" s="3">
        <v>126</v>
      </c>
      <c r="D97" s="3">
        <v>213</v>
      </c>
      <c r="E97" s="4">
        <v>4181.1099999999997</v>
      </c>
      <c r="F97" s="4">
        <v>6817.41</v>
      </c>
      <c r="G97" s="4">
        <v>3177.68</v>
      </c>
      <c r="H97" s="3">
        <v>0</v>
      </c>
      <c r="I97" s="3">
        <v>162</v>
      </c>
      <c r="J97" s="4">
        <v>2570.83</v>
      </c>
      <c r="K97" s="4">
        <v>1397.93</v>
      </c>
      <c r="L97" s="3">
        <v>216.67</v>
      </c>
      <c r="M97" s="4">
        <v>18523.63</v>
      </c>
      <c r="N97" s="3">
        <v>740.95</v>
      </c>
      <c r="O97" s="4">
        <v>10791.23</v>
      </c>
      <c r="P97" s="4">
        <v>1233.69</v>
      </c>
      <c r="Q97" s="3">
        <v>96.04</v>
      </c>
      <c r="R97" s="4">
        <v>500</v>
      </c>
      <c r="S97" s="3">
        <v>0</v>
      </c>
      <c r="T97" s="4">
        <v>0</v>
      </c>
      <c r="U97" s="4">
        <v>12120.96</v>
      </c>
      <c r="V97" s="4">
        <v>935</v>
      </c>
      <c r="W97" s="4">
        <v>1300</v>
      </c>
      <c r="X97" s="9">
        <f t="shared" si="0"/>
        <v>5526.7200000000021</v>
      </c>
    </row>
    <row r="98" spans="1:24" ht="13" x14ac:dyDescent="0.3">
      <c r="A98" s="2" t="s">
        <v>152</v>
      </c>
      <c r="B98" s="3" t="s">
        <v>123</v>
      </c>
      <c r="C98" s="3">
        <v>100</v>
      </c>
      <c r="D98" s="3">
        <v>163</v>
      </c>
      <c r="E98" s="4">
        <v>3678.64</v>
      </c>
      <c r="F98" s="4">
        <v>5875.93</v>
      </c>
      <c r="G98" s="4">
        <v>3134.28</v>
      </c>
      <c r="H98" s="3">
        <v>0</v>
      </c>
      <c r="I98" s="3">
        <v>0</v>
      </c>
      <c r="J98" s="4">
        <v>1408.33</v>
      </c>
      <c r="K98" s="4">
        <v>1289.1300000000001</v>
      </c>
      <c r="L98" s="3">
        <v>308.33</v>
      </c>
      <c r="M98" s="4">
        <v>15694.65</v>
      </c>
      <c r="N98" s="3">
        <v>627.79</v>
      </c>
      <c r="O98" s="4">
        <v>5407.78</v>
      </c>
      <c r="P98" s="3">
        <v>0</v>
      </c>
      <c r="Q98" s="3">
        <v>96.04</v>
      </c>
      <c r="R98" s="4">
        <v>0</v>
      </c>
      <c r="S98" s="3">
        <v>706.95</v>
      </c>
      <c r="T98" s="4">
        <v>0</v>
      </c>
      <c r="U98" s="4">
        <v>6210.77</v>
      </c>
      <c r="V98" s="4">
        <v>0</v>
      </c>
      <c r="W98" s="3">
        <v>0</v>
      </c>
      <c r="X98" s="9">
        <f t="shared" si="0"/>
        <v>8856.09</v>
      </c>
    </row>
    <row r="99" spans="1:24" ht="13" x14ac:dyDescent="0.3">
      <c r="A99" s="2" t="s">
        <v>153</v>
      </c>
      <c r="B99" s="3" t="s">
        <v>154</v>
      </c>
      <c r="C99" s="3">
        <v>113</v>
      </c>
      <c r="D99" s="3">
        <v>177</v>
      </c>
      <c r="E99" s="4">
        <v>3242.02</v>
      </c>
      <c r="F99" s="4">
        <v>6185.58</v>
      </c>
      <c r="G99" s="4">
        <v>2369.5700000000002</v>
      </c>
      <c r="H99" s="4">
        <v>0</v>
      </c>
      <c r="I99" s="3">
        <v>0</v>
      </c>
      <c r="J99" s="4">
        <v>1408.33</v>
      </c>
      <c r="K99" s="4">
        <v>863.82</v>
      </c>
      <c r="L99" s="3">
        <v>141.66999999999999</v>
      </c>
      <c r="M99" s="4">
        <v>14210.99</v>
      </c>
      <c r="N99" s="3">
        <v>568.44000000000005</v>
      </c>
      <c r="O99" s="4">
        <v>8118.9</v>
      </c>
      <c r="P99" s="4">
        <v>1093.24</v>
      </c>
      <c r="Q99" s="3">
        <v>96.04</v>
      </c>
      <c r="R99" s="4">
        <v>0</v>
      </c>
      <c r="S99" s="3">
        <v>0</v>
      </c>
      <c r="T99" s="4">
        <v>0</v>
      </c>
      <c r="U99" s="4">
        <v>9308.18</v>
      </c>
      <c r="V99" s="4">
        <v>0</v>
      </c>
      <c r="W99" s="4">
        <v>6100</v>
      </c>
      <c r="X99" s="9">
        <f t="shared" si="0"/>
        <v>10434.369999999999</v>
      </c>
    </row>
    <row r="100" spans="1:24" ht="13" x14ac:dyDescent="0.3">
      <c r="A100" s="6" t="s">
        <v>155</v>
      </c>
      <c r="B100" s="7" t="s">
        <v>54</v>
      </c>
      <c r="C100" s="7">
        <v>110</v>
      </c>
      <c r="D100" s="7">
        <v>156</v>
      </c>
      <c r="E100" s="8">
        <v>4504.72</v>
      </c>
      <c r="F100" s="8">
        <v>6051.97</v>
      </c>
      <c r="G100" s="8">
        <v>3090.85</v>
      </c>
      <c r="H100" s="7">
        <v>0</v>
      </c>
      <c r="I100" s="7">
        <v>0</v>
      </c>
      <c r="J100" s="8">
        <v>0</v>
      </c>
      <c r="K100" s="8">
        <v>763.88</v>
      </c>
      <c r="L100" s="7">
        <v>550</v>
      </c>
      <c r="M100" s="8">
        <v>14961.42</v>
      </c>
      <c r="N100" s="7">
        <v>598.46</v>
      </c>
      <c r="O100" s="8">
        <v>2045.01</v>
      </c>
      <c r="P100" s="8">
        <v>1128.92</v>
      </c>
      <c r="Q100" s="7">
        <v>96.04</v>
      </c>
      <c r="R100" s="7">
        <v>500</v>
      </c>
      <c r="S100" s="7">
        <v>0</v>
      </c>
      <c r="T100" s="7">
        <v>0</v>
      </c>
      <c r="U100" s="8">
        <v>3269.97</v>
      </c>
      <c r="V100" s="7">
        <v>935</v>
      </c>
      <c r="W100" s="8">
        <v>0</v>
      </c>
      <c r="X100" s="9">
        <f t="shared" si="0"/>
        <v>9657.9900000000016</v>
      </c>
    </row>
    <row r="101" spans="1:24" ht="13" x14ac:dyDescent="0.3">
      <c r="A101" s="2" t="s">
        <v>156</v>
      </c>
      <c r="B101" s="3" t="s">
        <v>29</v>
      </c>
      <c r="C101" s="3">
        <v>213</v>
      </c>
      <c r="D101" s="3">
        <v>302</v>
      </c>
      <c r="E101" s="4">
        <v>8324.42</v>
      </c>
      <c r="F101" s="4">
        <v>13012.5</v>
      </c>
      <c r="G101" s="4">
        <v>5950.81</v>
      </c>
      <c r="H101" s="3">
        <v>0</v>
      </c>
      <c r="I101" s="3">
        <v>39</v>
      </c>
      <c r="J101" s="4">
        <v>7500</v>
      </c>
      <c r="K101" s="4">
        <v>1863.61</v>
      </c>
      <c r="L101" s="3">
        <v>258.33</v>
      </c>
      <c r="M101" s="4">
        <v>36948.67</v>
      </c>
      <c r="N101" s="4">
        <v>1477.95</v>
      </c>
      <c r="O101" s="4">
        <v>16120.47</v>
      </c>
      <c r="P101" s="4">
        <v>11098.32</v>
      </c>
      <c r="Q101" s="3">
        <v>96.04</v>
      </c>
      <c r="R101" s="3">
        <v>0</v>
      </c>
      <c r="S101" s="4">
        <v>1003.58</v>
      </c>
      <c r="T101" s="3">
        <v>0</v>
      </c>
      <c r="U101" s="4">
        <v>28318.41</v>
      </c>
      <c r="V101" s="3">
        <v>0</v>
      </c>
      <c r="W101" s="3">
        <v>0</v>
      </c>
      <c r="X101" s="9">
        <f t="shared" si="0"/>
        <v>7152.3099999999986</v>
      </c>
    </row>
    <row r="102" spans="1:24" ht="13" x14ac:dyDescent="0.3">
      <c r="A102" s="2" t="s">
        <v>157</v>
      </c>
      <c r="B102" s="3" t="s">
        <v>29</v>
      </c>
      <c r="C102" s="3">
        <v>187</v>
      </c>
      <c r="D102" s="3">
        <v>281</v>
      </c>
      <c r="E102" s="4">
        <v>7130.79</v>
      </c>
      <c r="F102" s="4">
        <v>11867.08</v>
      </c>
      <c r="G102" s="4">
        <v>4966.1000000000004</v>
      </c>
      <c r="H102" s="4">
        <v>0</v>
      </c>
      <c r="I102" s="3">
        <v>0</v>
      </c>
      <c r="J102" s="4">
        <v>6479.17</v>
      </c>
      <c r="K102" s="4">
        <v>1341.88</v>
      </c>
      <c r="L102" s="3">
        <v>191.67</v>
      </c>
      <c r="M102" s="4">
        <v>31976.68</v>
      </c>
      <c r="N102" s="4">
        <v>1279.07</v>
      </c>
      <c r="O102" s="4">
        <v>15898.56</v>
      </c>
      <c r="P102" s="4">
        <v>7174.42</v>
      </c>
      <c r="Q102" s="3">
        <v>96.04</v>
      </c>
      <c r="R102" s="3">
        <v>0</v>
      </c>
      <c r="S102" s="3">
        <v>0</v>
      </c>
      <c r="T102" s="3">
        <v>0</v>
      </c>
      <c r="U102" s="4">
        <v>23169.02</v>
      </c>
      <c r="V102" s="3">
        <v>0</v>
      </c>
      <c r="W102" s="4">
        <v>700</v>
      </c>
      <c r="X102" s="9">
        <f t="shared" si="0"/>
        <v>8228.59</v>
      </c>
    </row>
    <row r="103" spans="1:24" ht="13" x14ac:dyDescent="0.3">
      <c r="A103" s="6" t="s">
        <v>158</v>
      </c>
      <c r="B103" s="7" t="s">
        <v>94</v>
      </c>
      <c r="C103" s="7">
        <v>85</v>
      </c>
      <c r="D103" s="7">
        <v>161</v>
      </c>
      <c r="E103" s="8">
        <v>3775.9</v>
      </c>
      <c r="F103" s="8">
        <v>7818.81</v>
      </c>
      <c r="G103" s="8">
        <v>2451.5</v>
      </c>
      <c r="H103" s="7">
        <v>0</v>
      </c>
      <c r="I103" s="7">
        <v>52</v>
      </c>
      <c r="J103" s="8">
        <v>1875</v>
      </c>
      <c r="K103" s="8">
        <v>998.12</v>
      </c>
      <c r="L103" s="7">
        <v>200</v>
      </c>
      <c r="M103" s="8">
        <v>17171.330000000002</v>
      </c>
      <c r="N103" s="7">
        <v>686.85</v>
      </c>
      <c r="O103" s="8">
        <v>4061.48</v>
      </c>
      <c r="P103" s="8">
        <v>1010.99</v>
      </c>
      <c r="Q103" s="7">
        <v>96.04</v>
      </c>
      <c r="R103" s="7">
        <v>0</v>
      </c>
      <c r="S103" s="7">
        <v>0</v>
      </c>
      <c r="T103" s="7">
        <v>0</v>
      </c>
      <c r="U103" s="8">
        <v>5168.51</v>
      </c>
      <c r="V103" s="7">
        <v>0</v>
      </c>
      <c r="W103" s="8">
        <v>0</v>
      </c>
      <c r="X103" s="9">
        <f t="shared" si="0"/>
        <v>11315.970000000001</v>
      </c>
    </row>
    <row r="104" spans="1:24" ht="13" x14ac:dyDescent="0.3">
      <c r="A104" s="2" t="s">
        <v>159</v>
      </c>
      <c r="B104" s="3" t="s">
        <v>94</v>
      </c>
      <c r="C104" s="3">
        <v>113</v>
      </c>
      <c r="D104" s="3">
        <v>175</v>
      </c>
      <c r="E104" s="4">
        <v>5292</v>
      </c>
      <c r="F104" s="4">
        <v>8759.7000000000007</v>
      </c>
      <c r="G104" s="4">
        <v>3298.38</v>
      </c>
      <c r="H104" s="3">
        <v>0</v>
      </c>
      <c r="I104" s="3">
        <v>0</v>
      </c>
      <c r="J104" s="4">
        <v>1875</v>
      </c>
      <c r="K104" s="4">
        <v>150.44999999999999</v>
      </c>
      <c r="L104" s="3">
        <v>308.33</v>
      </c>
      <c r="M104" s="4">
        <v>19683.87</v>
      </c>
      <c r="N104" s="3">
        <v>787.35</v>
      </c>
      <c r="O104" s="4">
        <v>6752.85</v>
      </c>
      <c r="P104" s="4">
        <v>1066</v>
      </c>
      <c r="Q104" s="3">
        <v>96.04</v>
      </c>
      <c r="R104" s="4">
        <v>0</v>
      </c>
      <c r="S104" s="3">
        <v>0</v>
      </c>
      <c r="T104" s="4">
        <v>0</v>
      </c>
      <c r="U104" s="4">
        <v>7914.89</v>
      </c>
      <c r="V104" s="4">
        <v>0</v>
      </c>
      <c r="W104" s="4">
        <v>0</v>
      </c>
      <c r="X104" s="9">
        <f t="shared" si="0"/>
        <v>10981.63</v>
      </c>
    </row>
    <row r="105" spans="1:24" ht="13" x14ac:dyDescent="0.3">
      <c r="A105" s="2" t="s">
        <v>160</v>
      </c>
      <c r="B105" s="3" t="s">
        <v>45</v>
      </c>
      <c r="C105" s="3">
        <v>239</v>
      </c>
      <c r="D105" s="3">
        <v>305</v>
      </c>
      <c r="E105" s="4">
        <v>9117.9</v>
      </c>
      <c r="F105" s="4">
        <v>13287.91</v>
      </c>
      <c r="G105" s="4">
        <v>5501.05</v>
      </c>
      <c r="H105" s="3">
        <v>0</v>
      </c>
      <c r="I105" s="3">
        <v>91</v>
      </c>
      <c r="J105" s="4">
        <v>7500</v>
      </c>
      <c r="K105" s="4">
        <v>746.52</v>
      </c>
      <c r="L105" s="3">
        <v>208.33</v>
      </c>
      <c r="M105" s="4">
        <v>36452.71</v>
      </c>
      <c r="N105" s="4">
        <v>1458.11</v>
      </c>
      <c r="O105" s="4">
        <v>32104.33</v>
      </c>
      <c r="P105" s="4">
        <v>3536.38</v>
      </c>
      <c r="Q105" s="3">
        <v>96.04</v>
      </c>
      <c r="R105" s="4">
        <v>0</v>
      </c>
      <c r="S105" s="3">
        <v>0</v>
      </c>
      <c r="T105" s="4">
        <v>0</v>
      </c>
      <c r="U105" s="4">
        <v>35736.75</v>
      </c>
      <c r="V105" s="4">
        <v>0</v>
      </c>
      <c r="W105" s="4">
        <v>10200</v>
      </c>
      <c r="X105" s="9">
        <f t="shared" si="0"/>
        <v>9457.8499999999985</v>
      </c>
    </row>
    <row r="106" spans="1:24" ht="15" customHeight="1" x14ac:dyDescent="0.3">
      <c r="A106" s="6" t="s">
        <v>161</v>
      </c>
      <c r="B106" s="7" t="s">
        <v>94</v>
      </c>
      <c r="C106" s="7">
        <v>172</v>
      </c>
      <c r="D106" s="7">
        <v>284</v>
      </c>
      <c r="E106" s="8">
        <v>7608.38</v>
      </c>
      <c r="F106" s="8">
        <v>13494.36</v>
      </c>
      <c r="G106" s="8">
        <v>4400.72</v>
      </c>
      <c r="H106" s="7">
        <v>0</v>
      </c>
      <c r="I106" s="7">
        <v>13</v>
      </c>
      <c r="J106" s="8">
        <v>6479.17</v>
      </c>
      <c r="K106" s="8">
        <v>1091.68</v>
      </c>
      <c r="L106" s="7">
        <v>708.33</v>
      </c>
      <c r="M106" s="8">
        <v>33795.64</v>
      </c>
      <c r="N106" s="8">
        <v>1351.83</v>
      </c>
      <c r="O106" s="8">
        <v>12180.09</v>
      </c>
      <c r="P106" s="8">
        <v>2194.9699999999998</v>
      </c>
      <c r="Q106" s="7">
        <v>96.04</v>
      </c>
      <c r="R106" s="7">
        <v>0</v>
      </c>
      <c r="S106" s="7">
        <v>0</v>
      </c>
      <c r="T106" s="7">
        <v>0</v>
      </c>
      <c r="U106" s="8">
        <v>14471.1</v>
      </c>
      <c r="V106" s="7">
        <v>0</v>
      </c>
      <c r="W106" s="8">
        <v>0</v>
      </c>
      <c r="X106" s="9">
        <f t="shared" si="0"/>
        <v>17972.71</v>
      </c>
    </row>
    <row r="107" spans="1:24" ht="13" x14ac:dyDescent="0.3">
      <c r="A107" s="12" t="s">
        <v>138</v>
      </c>
      <c r="B107" s="12" t="s">
        <v>31</v>
      </c>
      <c r="C107" s="12">
        <v>43</v>
      </c>
      <c r="D107" s="12">
        <v>67</v>
      </c>
      <c r="E107" s="13">
        <v>1292.08</v>
      </c>
      <c r="F107" s="13">
        <v>2179.64</v>
      </c>
      <c r="G107" s="12">
        <v>811.8</v>
      </c>
      <c r="H107" s="14">
        <v>0</v>
      </c>
      <c r="I107" s="14">
        <v>0</v>
      </c>
      <c r="J107" s="14">
        <v>0</v>
      </c>
      <c r="K107" s="13">
        <v>1033.67</v>
      </c>
      <c r="L107" s="12">
        <v>0</v>
      </c>
      <c r="M107" s="13">
        <v>5992.25</v>
      </c>
      <c r="N107" s="12">
        <v>239.69</v>
      </c>
      <c r="O107" s="13">
        <v>4933.79</v>
      </c>
      <c r="P107" s="12">
        <v>0</v>
      </c>
      <c r="Q107" s="12">
        <v>96.04</v>
      </c>
      <c r="R107" s="3">
        <v>0</v>
      </c>
      <c r="S107" s="15">
        <v>0</v>
      </c>
      <c r="T107" s="14">
        <v>0</v>
      </c>
      <c r="U107" s="13">
        <v>5029.83</v>
      </c>
      <c r="V107" s="14">
        <v>0</v>
      </c>
      <c r="W107" s="15">
        <v>0</v>
      </c>
      <c r="X107" s="9">
        <f t="shared" ref="X107:X108" si="1">(M107)-(U107)-(N107)-(R107)-(V107)-(T107)+(W107)</f>
        <v>722.73</v>
      </c>
    </row>
    <row r="108" spans="1:24" ht="13" x14ac:dyDescent="0.3">
      <c r="A108" s="16" t="s">
        <v>106</v>
      </c>
      <c r="B108" s="16" t="s">
        <v>54</v>
      </c>
      <c r="C108" s="16">
        <v>16</v>
      </c>
      <c r="D108" s="16">
        <v>27</v>
      </c>
      <c r="E108" s="17">
        <v>452.27</v>
      </c>
      <c r="F108" s="17">
        <v>834.14</v>
      </c>
      <c r="G108" s="16">
        <v>288.27</v>
      </c>
      <c r="H108" s="18">
        <v>0</v>
      </c>
      <c r="I108" s="18">
        <v>0</v>
      </c>
      <c r="J108" s="18">
        <v>0</v>
      </c>
      <c r="K108" s="16">
        <v>433.11</v>
      </c>
      <c r="L108" s="16">
        <v>0</v>
      </c>
      <c r="M108" s="17">
        <v>2216.12</v>
      </c>
      <c r="N108" s="16">
        <v>88.64</v>
      </c>
      <c r="O108" s="17">
        <v>0</v>
      </c>
      <c r="P108" s="16">
        <v>0</v>
      </c>
      <c r="Q108" s="16">
        <v>96.04</v>
      </c>
      <c r="R108" s="7">
        <v>0</v>
      </c>
      <c r="S108" s="19">
        <v>0</v>
      </c>
      <c r="T108" s="18">
        <v>0</v>
      </c>
      <c r="U108" s="16">
        <v>96.04</v>
      </c>
      <c r="V108" s="18">
        <v>0</v>
      </c>
      <c r="W108" s="19">
        <v>0</v>
      </c>
      <c r="X108" s="9">
        <f t="shared" si="1"/>
        <v>2031.4399999999998</v>
      </c>
    </row>
    <row r="109" spans="1:24" ht="13" x14ac:dyDescent="0.3">
      <c r="A109" s="14"/>
      <c r="B109" s="14"/>
      <c r="C109" s="14"/>
      <c r="D109" s="14"/>
      <c r="E109" s="14"/>
      <c r="F109" s="20"/>
      <c r="G109" s="14"/>
      <c r="H109" s="14"/>
      <c r="I109" s="14"/>
      <c r="J109" s="14"/>
      <c r="K109" s="14"/>
      <c r="L109" s="14"/>
      <c r="M109" s="20"/>
      <c r="N109" s="14"/>
      <c r="O109" s="14"/>
      <c r="P109" s="14"/>
      <c r="Q109" s="14"/>
      <c r="R109" s="4"/>
      <c r="S109" s="15"/>
      <c r="T109" s="14"/>
      <c r="U109" s="15"/>
      <c r="V109" s="14"/>
      <c r="W109" s="15"/>
      <c r="X109" s="15"/>
    </row>
    <row r="110" spans="1:24" ht="13" x14ac:dyDescent="0.3">
      <c r="A110" s="14"/>
      <c r="B110" s="14"/>
      <c r="C110" s="14"/>
      <c r="D110" s="14"/>
      <c r="E110" s="20"/>
      <c r="F110" s="20"/>
      <c r="G110" s="20"/>
      <c r="H110" s="14"/>
      <c r="I110" s="14"/>
      <c r="J110" s="14"/>
      <c r="K110" s="14"/>
      <c r="L110" s="14"/>
      <c r="M110" s="20"/>
      <c r="N110" s="14"/>
      <c r="O110" s="20"/>
      <c r="P110" s="14"/>
      <c r="Q110" s="14"/>
      <c r="R110" s="3"/>
      <c r="S110" s="15"/>
      <c r="T110" s="14"/>
      <c r="U110" s="15"/>
      <c r="V110" s="14"/>
      <c r="W110" s="15"/>
      <c r="X110" s="15"/>
    </row>
    <row r="111" spans="1:24" ht="13" x14ac:dyDescent="0.3">
      <c r="A111" s="14"/>
      <c r="B111" s="14"/>
      <c r="C111" s="14"/>
      <c r="D111" s="14"/>
      <c r="E111" s="20"/>
      <c r="F111" s="20"/>
      <c r="G111" s="14"/>
      <c r="H111" s="14"/>
      <c r="I111" s="14"/>
      <c r="J111" s="14"/>
      <c r="K111" s="14"/>
      <c r="L111" s="14"/>
      <c r="M111" s="20"/>
      <c r="N111" s="14"/>
      <c r="O111" s="20"/>
      <c r="P111" s="14"/>
      <c r="Q111" s="14"/>
      <c r="R111" s="4"/>
      <c r="S111" s="15"/>
      <c r="T111" s="14"/>
      <c r="U111" s="15"/>
      <c r="V111" s="14"/>
      <c r="W111" s="15"/>
      <c r="X111" s="15"/>
    </row>
    <row r="112" spans="1:24" ht="13" x14ac:dyDescent="0.3">
      <c r="A112" s="14"/>
      <c r="B112" s="14"/>
      <c r="C112" s="14"/>
      <c r="D112" s="14"/>
      <c r="E112" s="20"/>
      <c r="F112" s="20"/>
      <c r="G112" s="14"/>
      <c r="H112" s="14"/>
      <c r="I112" s="14"/>
      <c r="J112" s="14"/>
      <c r="K112" s="14"/>
      <c r="L112" s="14"/>
      <c r="M112" s="20"/>
      <c r="N112" s="14"/>
      <c r="O112" s="20"/>
      <c r="P112" s="14"/>
      <c r="Q112" s="14"/>
      <c r="R112" s="4"/>
      <c r="S112" s="15"/>
      <c r="T112" s="14"/>
      <c r="U112" s="15"/>
      <c r="V112" s="14"/>
      <c r="W112" s="15"/>
      <c r="X112" s="15"/>
    </row>
    <row r="113" spans="1:24" ht="13" x14ac:dyDescent="0.3">
      <c r="A113" s="14"/>
      <c r="B113" s="14"/>
      <c r="C113" s="14"/>
      <c r="D113" s="14"/>
      <c r="E113" s="20"/>
      <c r="F113" s="20"/>
      <c r="G113" s="14"/>
      <c r="H113" s="14"/>
      <c r="I113" s="14"/>
      <c r="J113" s="14"/>
      <c r="K113" s="14"/>
      <c r="L113" s="14"/>
      <c r="M113" s="20"/>
      <c r="N113" s="14"/>
      <c r="O113" s="20"/>
      <c r="P113" s="14"/>
      <c r="Q113" s="14"/>
      <c r="R113" s="3"/>
      <c r="S113" s="15"/>
      <c r="T113" s="14"/>
      <c r="U113" s="15"/>
      <c r="V113" s="14"/>
      <c r="W113" s="15"/>
      <c r="X113" s="15"/>
    </row>
    <row r="114" spans="1:24" ht="13" x14ac:dyDescent="0.3">
      <c r="A114" s="14"/>
      <c r="B114" s="14"/>
      <c r="C114" s="14"/>
      <c r="D114" s="14"/>
      <c r="E114" s="20"/>
      <c r="F114" s="20"/>
      <c r="G114" s="20"/>
      <c r="H114" s="14"/>
      <c r="I114" s="14"/>
      <c r="J114" s="14"/>
      <c r="K114" s="14"/>
      <c r="L114" s="14"/>
      <c r="M114" s="20"/>
      <c r="N114" s="14"/>
      <c r="O114" s="20"/>
      <c r="P114" s="14"/>
      <c r="Q114" s="14"/>
      <c r="R114" s="3"/>
      <c r="S114" s="15"/>
      <c r="T114" s="14"/>
      <c r="U114" s="15"/>
      <c r="V114" s="14"/>
      <c r="W114" s="15"/>
      <c r="X114" s="15"/>
    </row>
    <row r="115" spans="1:24" ht="13" x14ac:dyDescent="0.3">
      <c r="A115" s="14"/>
      <c r="B115" s="14"/>
      <c r="C115" s="14"/>
      <c r="D115" s="14"/>
      <c r="E115" s="20"/>
      <c r="F115" s="20"/>
      <c r="G115" s="14"/>
      <c r="H115" s="14"/>
      <c r="I115" s="14"/>
      <c r="J115" s="14"/>
      <c r="K115" s="14"/>
      <c r="L115" s="14"/>
      <c r="M115" s="20"/>
      <c r="N115" s="14"/>
      <c r="O115" s="20"/>
      <c r="P115" s="14"/>
      <c r="Q115" s="14"/>
      <c r="R115" s="4"/>
      <c r="S115" s="15"/>
      <c r="T115" s="14"/>
      <c r="U115" s="15"/>
      <c r="V115" s="14"/>
      <c r="W115" s="15"/>
      <c r="X115" s="15"/>
    </row>
    <row r="116" spans="1:24" ht="13" x14ac:dyDescent="0.3">
      <c r="A116" s="14"/>
      <c r="B116" s="14"/>
      <c r="C116" s="14"/>
      <c r="D116" s="14"/>
      <c r="E116" s="20"/>
      <c r="F116" s="20"/>
      <c r="G116" s="14"/>
      <c r="H116" s="14"/>
      <c r="I116" s="14"/>
      <c r="J116" s="14"/>
      <c r="K116" s="14"/>
      <c r="L116" s="14"/>
      <c r="M116" s="20"/>
      <c r="N116" s="14"/>
      <c r="O116" s="20"/>
      <c r="P116" s="14"/>
      <c r="Q116" s="14"/>
      <c r="R116" s="3"/>
      <c r="S116" s="15"/>
      <c r="T116" s="14"/>
      <c r="U116" s="15"/>
      <c r="V116" s="14"/>
      <c r="W116" s="15"/>
      <c r="X116" s="15"/>
    </row>
    <row r="117" spans="1:24" ht="13" x14ac:dyDescent="0.3">
      <c r="A117" s="14"/>
      <c r="B117" s="14"/>
      <c r="C117" s="14"/>
      <c r="D117" s="14"/>
      <c r="E117" s="20"/>
      <c r="F117" s="20"/>
      <c r="G117" s="20"/>
      <c r="H117" s="14"/>
      <c r="I117" s="14"/>
      <c r="J117" s="14"/>
      <c r="K117" s="14"/>
      <c r="L117" s="14"/>
      <c r="M117" s="20"/>
      <c r="N117" s="14"/>
      <c r="O117" s="20"/>
      <c r="P117" s="20"/>
      <c r="Q117" s="14"/>
      <c r="R117" s="4"/>
      <c r="S117" s="15"/>
      <c r="T117" s="14"/>
      <c r="U117" s="15"/>
      <c r="V117" s="14"/>
      <c r="W117" s="15"/>
      <c r="X117" s="15"/>
    </row>
    <row r="118" spans="1:24" ht="13" x14ac:dyDescent="0.3">
      <c r="A118" s="14"/>
      <c r="B118" s="14"/>
      <c r="C118" s="14"/>
      <c r="D118" s="14"/>
      <c r="E118" s="20"/>
      <c r="F118" s="20"/>
      <c r="G118" s="14"/>
      <c r="H118" s="14"/>
      <c r="I118" s="14"/>
      <c r="J118" s="14"/>
      <c r="K118" s="14"/>
      <c r="L118" s="14"/>
      <c r="M118" s="20"/>
      <c r="N118" s="14"/>
      <c r="O118" s="20"/>
      <c r="P118" s="14"/>
      <c r="Q118" s="14"/>
      <c r="R118" s="3"/>
      <c r="S118" s="15"/>
      <c r="T118" s="14"/>
      <c r="U118" s="15"/>
      <c r="V118" s="14"/>
      <c r="W118" s="15"/>
      <c r="X118" s="15"/>
    </row>
    <row r="119" spans="1:24" ht="13" x14ac:dyDescent="0.3">
      <c r="A119" s="14"/>
      <c r="B119" s="14"/>
      <c r="C119" s="14"/>
      <c r="D119" s="14"/>
      <c r="E119" s="20"/>
      <c r="F119" s="20"/>
      <c r="G119" s="20"/>
      <c r="H119" s="14"/>
      <c r="I119" s="14"/>
      <c r="J119" s="20"/>
      <c r="K119" s="20"/>
      <c r="L119" s="14"/>
      <c r="M119" s="20"/>
      <c r="N119" s="14"/>
      <c r="O119" s="20"/>
      <c r="P119" s="20"/>
      <c r="Q119" s="14"/>
      <c r="R119" s="3"/>
      <c r="S119" s="15"/>
      <c r="T119" s="14"/>
      <c r="U119" s="15"/>
      <c r="V119" s="14"/>
      <c r="W119" s="15"/>
      <c r="X119" s="15"/>
    </row>
    <row r="120" spans="1:24" ht="13" x14ac:dyDescent="0.3">
      <c r="A120" s="14"/>
      <c r="B120" s="14"/>
      <c r="C120" s="14"/>
      <c r="D120" s="14"/>
      <c r="E120" s="20"/>
      <c r="F120" s="20"/>
      <c r="G120" s="14"/>
      <c r="H120" s="14"/>
      <c r="I120" s="14"/>
      <c r="J120" s="14"/>
      <c r="K120" s="14"/>
      <c r="L120" s="14"/>
      <c r="M120" s="20"/>
      <c r="N120" s="14"/>
      <c r="O120" s="14"/>
      <c r="P120" s="14"/>
      <c r="Q120" s="14"/>
      <c r="R120" s="4"/>
      <c r="S120" s="15"/>
      <c r="T120" s="14"/>
      <c r="U120" s="15"/>
      <c r="V120" s="14"/>
      <c r="W120" s="15"/>
      <c r="X120" s="15"/>
    </row>
    <row r="121" spans="1:24" ht="13" x14ac:dyDescent="0.3">
      <c r="A121" s="14"/>
      <c r="B121" s="14"/>
      <c r="C121" s="14"/>
      <c r="D121" s="14"/>
      <c r="E121" s="20"/>
      <c r="F121" s="20"/>
      <c r="G121" s="20"/>
      <c r="H121" s="14"/>
      <c r="I121" s="14"/>
      <c r="J121" s="20"/>
      <c r="K121" s="20"/>
      <c r="L121" s="14"/>
      <c r="M121" s="20"/>
      <c r="N121" s="14"/>
      <c r="O121" s="20"/>
      <c r="P121" s="20"/>
      <c r="Q121" s="14"/>
      <c r="R121" s="4"/>
      <c r="S121" s="15"/>
      <c r="T121" s="14"/>
      <c r="U121" s="15"/>
      <c r="V121" s="14"/>
      <c r="W121" s="15"/>
      <c r="X121" s="15"/>
    </row>
    <row r="122" spans="1:24" ht="13" x14ac:dyDescent="0.3">
      <c r="A122" s="14"/>
      <c r="B122" s="14"/>
      <c r="C122" s="14"/>
      <c r="D122" s="14"/>
      <c r="E122" s="20"/>
      <c r="F122" s="20"/>
      <c r="G122" s="20"/>
      <c r="H122" s="14"/>
      <c r="I122" s="14"/>
      <c r="J122" s="20"/>
      <c r="K122" s="20"/>
      <c r="L122" s="14"/>
      <c r="M122" s="20"/>
      <c r="N122" s="14"/>
      <c r="O122" s="20"/>
      <c r="P122" s="20"/>
      <c r="Q122" s="14"/>
      <c r="R122" s="3"/>
      <c r="S122" s="15"/>
      <c r="T122" s="14"/>
      <c r="U122" s="15"/>
      <c r="V122" s="14"/>
      <c r="W122" s="15"/>
      <c r="X122" s="15"/>
    </row>
    <row r="123" spans="1:24" ht="13" x14ac:dyDescent="0.3">
      <c r="A123" s="14"/>
      <c r="B123" s="14"/>
      <c r="C123" s="14"/>
      <c r="D123" s="14"/>
      <c r="E123" s="20"/>
      <c r="F123" s="20"/>
      <c r="G123" s="20"/>
      <c r="H123" s="14"/>
      <c r="I123" s="14"/>
      <c r="J123" s="20"/>
      <c r="K123" s="20"/>
      <c r="L123" s="14"/>
      <c r="M123" s="20"/>
      <c r="N123" s="14"/>
      <c r="O123" s="20"/>
      <c r="P123" s="14"/>
      <c r="Q123" s="14"/>
      <c r="R123" s="4"/>
      <c r="S123" s="15"/>
      <c r="T123" s="14"/>
      <c r="U123" s="15"/>
      <c r="V123" s="14"/>
      <c r="W123" s="15"/>
      <c r="X123" s="15"/>
    </row>
    <row r="124" spans="1:24" ht="13" x14ac:dyDescent="0.3">
      <c r="A124" s="14"/>
      <c r="B124" s="14"/>
      <c r="C124" s="14"/>
      <c r="D124" s="14"/>
      <c r="E124" s="20"/>
      <c r="F124" s="20"/>
      <c r="G124" s="20"/>
      <c r="H124" s="14"/>
      <c r="I124" s="14"/>
      <c r="J124" s="20"/>
      <c r="K124" s="20"/>
      <c r="L124" s="14"/>
      <c r="M124" s="20"/>
      <c r="N124" s="14"/>
      <c r="O124" s="20"/>
      <c r="P124" s="20"/>
      <c r="Q124" s="14"/>
      <c r="R124" s="3"/>
      <c r="S124" s="15"/>
      <c r="T124" s="14"/>
      <c r="U124" s="15"/>
      <c r="V124" s="14"/>
      <c r="W124" s="15"/>
      <c r="X124" s="15"/>
    </row>
    <row r="125" spans="1:24" ht="13" x14ac:dyDescent="0.3">
      <c r="A125" s="14"/>
      <c r="B125" s="14"/>
      <c r="C125" s="14"/>
      <c r="D125" s="14"/>
      <c r="E125" s="20"/>
      <c r="F125" s="20"/>
      <c r="G125" s="20"/>
      <c r="H125" s="14"/>
      <c r="I125" s="14"/>
      <c r="J125" s="20"/>
      <c r="K125" s="20"/>
      <c r="L125" s="14"/>
      <c r="M125" s="20"/>
      <c r="N125" s="14"/>
      <c r="O125" s="20"/>
      <c r="P125" s="20"/>
      <c r="Q125" s="14"/>
      <c r="R125" s="4"/>
      <c r="S125" s="15"/>
      <c r="T125" s="14"/>
      <c r="U125" s="15"/>
      <c r="V125" s="14"/>
      <c r="W125" s="15"/>
      <c r="X125" s="15"/>
    </row>
    <row r="126" spans="1:24" ht="13" x14ac:dyDescent="0.3">
      <c r="A126" s="14"/>
      <c r="B126" s="14"/>
      <c r="C126" s="14"/>
      <c r="D126" s="14"/>
      <c r="E126" s="20"/>
      <c r="F126" s="20"/>
      <c r="G126" s="20"/>
      <c r="H126" s="14"/>
      <c r="I126" s="14"/>
      <c r="J126" s="20"/>
      <c r="K126" s="20"/>
      <c r="L126" s="14"/>
      <c r="M126" s="20"/>
      <c r="N126" s="14"/>
      <c r="O126" s="20"/>
      <c r="P126" s="20"/>
      <c r="Q126" s="14"/>
      <c r="R126" s="4"/>
      <c r="S126" s="15"/>
      <c r="T126" s="14"/>
      <c r="U126" s="15"/>
      <c r="V126" s="14"/>
      <c r="W126" s="15"/>
      <c r="X126" s="15"/>
    </row>
    <row r="127" spans="1:24" ht="13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3"/>
      <c r="S127" s="15"/>
      <c r="T127" s="15"/>
      <c r="U127" s="15"/>
      <c r="V127" s="15"/>
      <c r="W127" s="15"/>
      <c r="X127" s="15"/>
    </row>
    <row r="128" spans="1:24" ht="13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3"/>
      <c r="S128" s="15"/>
      <c r="T128" s="15"/>
      <c r="U128" s="15"/>
      <c r="V128" s="15"/>
      <c r="W128" s="15"/>
      <c r="X128" s="15"/>
    </row>
    <row r="129" spans="1:24" ht="13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3"/>
      <c r="S129" s="15"/>
      <c r="T129" s="15"/>
      <c r="U129" s="15"/>
      <c r="V129" s="15"/>
      <c r="W129" s="15"/>
      <c r="X129" s="15"/>
    </row>
    <row r="130" spans="1:24" ht="13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3"/>
      <c r="S130" s="15"/>
      <c r="T130" s="15"/>
      <c r="U130" s="15"/>
      <c r="V130" s="15"/>
      <c r="W130" s="15"/>
      <c r="X130" s="15"/>
    </row>
    <row r="131" spans="1:24" ht="13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4"/>
      <c r="S131" s="15"/>
      <c r="T131" s="15"/>
      <c r="U131" s="15"/>
      <c r="V131" s="15"/>
      <c r="W131" s="15"/>
      <c r="X131" s="15"/>
    </row>
    <row r="132" spans="1:24" ht="13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3"/>
      <c r="S132" s="15"/>
      <c r="T132" s="15"/>
      <c r="U132" s="15"/>
      <c r="V132" s="15"/>
      <c r="W132" s="15"/>
      <c r="X132" s="15"/>
    </row>
    <row r="133" spans="1:24" ht="13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3"/>
      <c r="S133" s="15"/>
      <c r="T133" s="15"/>
      <c r="U133" s="15"/>
      <c r="V133" s="15"/>
      <c r="W133" s="15"/>
      <c r="X133" s="15"/>
    </row>
    <row r="134" spans="1:24" ht="13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3"/>
      <c r="S134" s="15"/>
      <c r="T134" s="15"/>
      <c r="U134" s="15"/>
      <c r="V134" s="15"/>
      <c r="W134" s="15"/>
      <c r="X134" s="15"/>
    </row>
    <row r="135" spans="1:24" ht="13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4"/>
      <c r="S135" s="15"/>
      <c r="T135" s="15"/>
      <c r="U135" s="15"/>
      <c r="V135" s="15"/>
      <c r="W135" s="15"/>
      <c r="X135" s="15"/>
    </row>
    <row r="136" spans="1:24" ht="13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3"/>
      <c r="S136" s="15"/>
      <c r="T136" s="15"/>
      <c r="U136" s="15"/>
      <c r="V136" s="15"/>
      <c r="W136" s="15"/>
      <c r="X136" s="15"/>
    </row>
    <row r="137" spans="1:24" ht="13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3"/>
      <c r="S137" s="15"/>
      <c r="T137" s="15"/>
      <c r="U137" s="15"/>
      <c r="V137" s="15"/>
      <c r="W137" s="15"/>
      <c r="X137" s="15"/>
    </row>
    <row r="138" spans="1:24" ht="12.5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spans="1:24" ht="12.5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spans="1:24" ht="12.5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spans="1:24" ht="12.5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spans="1:24" ht="12.5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spans="1:24" ht="12.5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spans="1:24" ht="12.5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spans="1:24" ht="12.5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spans="1:24" ht="12.5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spans="1:24" ht="12.5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spans="1:24" ht="12.5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spans="1:24" ht="12.5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spans="1:24" ht="12.5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spans="1:24" ht="12.5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 ht="12.5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spans="1:24" ht="12.5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spans="1:24" ht="12.5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spans="1:24" ht="12.5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spans="1:24" ht="12.5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spans="1:24" ht="12.5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spans="1:24" ht="12.5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spans="1:24" ht="12.5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spans="1:24" ht="12.5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spans="1:24" ht="12.5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spans="1:24" ht="12.5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spans="1:24" ht="12.5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spans="1:24" ht="12.5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spans="1:24" ht="12.5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spans="1:24" ht="12.5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spans="1:24" ht="12.5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spans="1:24" ht="12.5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spans="1:24" ht="12.5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spans="1:24" ht="12.5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spans="1:24" ht="12.5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spans="1:24" ht="12.5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4" ht="12.5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spans="1:24" ht="12.5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4" ht="12.5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spans="1:24" ht="12.5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 ht="12.5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spans="1:24" ht="12.5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spans="1:24" ht="12.5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spans="1:24" ht="12.5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spans="1:24" ht="12.5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 ht="12.5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spans="1:24" ht="12.5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spans="1:24" ht="12.5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spans="1:24" ht="12.5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spans="1:24" ht="12.5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spans="1:24" ht="12.5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spans="1:24" ht="12.5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spans="1:24" ht="12.5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spans="1:24" ht="12.5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spans="1:24" ht="12.5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spans="1:24" ht="12.5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spans="1:24" ht="12.5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spans="1:24" ht="12.5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spans="1:24" ht="12.5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 ht="12.5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spans="1:24" ht="12.5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spans="1:24" ht="12.5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spans="1:24" ht="12.5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spans="1:24" ht="12.5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spans="1:24" ht="12.5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spans="1:24" ht="12.5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spans="1:24" ht="12.5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spans="1:24" ht="12.5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spans="1:24" ht="12.5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spans="1:24" ht="12.5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spans="1:24" ht="12.5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spans="1:24" ht="12.5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spans="1:24" ht="12.5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spans="1:24" ht="12.5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spans="1:24" ht="12.5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spans="1:24" ht="12.5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spans="1:24" ht="12.5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spans="1:24" ht="12.5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spans="1:24" ht="12.5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spans="1:24" ht="12.5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spans="1:24" ht="12.5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spans="1:24" ht="12.5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spans="1:24" ht="12.5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spans="1:24" ht="12.5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spans="1:24" ht="12.5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spans="1:24" ht="12.5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spans="1:24" ht="12.5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spans="1:24" ht="12.5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spans="1:24" ht="12.5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spans="1:24" ht="12.5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spans="1:24" ht="12.5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spans="1:24" ht="12.5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spans="1:24" ht="12.5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spans="1:24" ht="12.5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spans="1:24" ht="12.5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spans="1:24" ht="12.5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spans="1:24" ht="12.5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spans="1:24" ht="12.5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spans="1:24" ht="12.5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spans="1:24" ht="12.5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spans="1:24" ht="12.5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spans="1:24" ht="12.5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spans="1:24" ht="12.5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spans="1:24" ht="12.5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spans="1:24" ht="12.5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spans="1:24" ht="12.5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spans="1:24" ht="12.5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spans="1:24" ht="12.5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spans="1:24" ht="12.5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spans="1:24" ht="12.5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spans="1:24" ht="12.5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spans="1:24" ht="12.5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spans="1:24" ht="12.5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spans="1:24" ht="12.5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spans="1:24" ht="12.5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spans="1:24" ht="12.5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spans="1:24" ht="12.5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spans="1:24" ht="12.5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spans="1:24" ht="12.5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spans="1:24" ht="12.5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spans="1:24" ht="12.5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spans="1:24" ht="12.5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spans="1:24" ht="12.5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spans="1:24" ht="12.5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spans="1:24" ht="12.5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spans="1:24" ht="12.5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spans="1:24" ht="12.5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spans="1:24" ht="12.5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spans="1:24" ht="12.5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spans="1:24" ht="12.5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spans="1:24" ht="12.5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spans="1:24" ht="12.5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spans="1:24" ht="12.5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spans="1:24" ht="12.5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spans="1:24" ht="12.5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spans="1:24" ht="12.5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spans="1:24" ht="12.5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spans="1:24" ht="12.5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spans="1:24" ht="12.5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spans="1:24" ht="12.5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spans="1:24" ht="12.5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spans="1:24" ht="12.5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spans="1:24" ht="12.5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spans="1:24" ht="12.5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spans="1:24" ht="12.5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spans="1:24" ht="12.5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spans="1:24" ht="12.5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spans="1:24" ht="12.5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spans="1:24" ht="12.5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spans="1:24" ht="12.5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spans="1:24" ht="12.5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spans="1:24" ht="12.5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spans="1:24" ht="12.5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spans="1:24" ht="12.5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spans="1:24" ht="12.5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spans="1:24" ht="12.5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spans="1:24" ht="12.5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spans="1:24" ht="12.5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spans="1:24" ht="12.5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spans="1:24" ht="12.5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spans="1:24" ht="12.5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spans="1:24" ht="12.5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spans="1:24" ht="12.5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spans="1:24" ht="12.5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spans="1:24" ht="12.5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spans="1:24" ht="12.5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spans="1:24" ht="12.5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spans="1:24" ht="12.5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spans="1:24" ht="12.5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spans="1:24" ht="12.5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spans="1:24" ht="12.5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spans="1:24" ht="12.5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spans="1:24" ht="12.5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spans="1:24" ht="12.5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spans="1:24" ht="12.5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spans="1:24" ht="12.5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spans="1:24" ht="12.5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spans="1:24" ht="12.5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 spans="1:24" ht="12.5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 spans="1:24" ht="12.5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 spans="1:24" ht="12.5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 spans="1:24" ht="12.5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 spans="1:24" ht="12.5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 spans="1:24" ht="12.5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 spans="1:24" ht="12.5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 spans="1:24" ht="12.5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 spans="1:24" ht="12.5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 spans="1:24" ht="12.5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 spans="1:24" ht="12.5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 spans="1:24" ht="12.5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 spans="1:24" ht="12.5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 spans="1:24" ht="12.5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 spans="1:24" ht="12.5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 spans="1:24" ht="12.5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 spans="1:24" ht="12.5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 spans="1:24" ht="12.5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 spans="1:24" ht="12.5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 spans="1:24" ht="12.5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 spans="1:24" ht="12.5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 spans="1:24" ht="12.5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 spans="1:24" ht="12.5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 spans="1:24" ht="12.5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 spans="1:24" ht="12.5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 spans="1:24" ht="12.5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 spans="1:24" ht="12.5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 spans="1:24" ht="12.5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 spans="1:24" ht="12.5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 spans="1:24" ht="12.5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 spans="1:24" ht="12.5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 spans="1:24" ht="12.5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spans="1:24" ht="12.5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spans="1:24" ht="12.5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spans="1:24" ht="12.5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spans="1:24" ht="12.5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spans="1:24" ht="12.5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spans="1:24" ht="12.5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spans="1:24" ht="12.5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spans="1:24" ht="12.5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spans="1:24" ht="12.5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spans="1:24" ht="12.5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spans="1:24" ht="12.5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spans="1:24" ht="12.5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spans="1:24" ht="12.5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spans="1:24" ht="12.5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spans="1:24" ht="12.5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spans="1:24" ht="12.5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spans="1:24" ht="12.5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spans="1:24" ht="12.5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spans="1:24" ht="12.5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spans="1:24" ht="12.5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spans="1:24" ht="12.5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spans="1:24" ht="12.5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spans="1:24" ht="12.5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spans="1:24" ht="12.5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spans="1:24" ht="12.5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spans="1:24" ht="12.5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spans="1:24" ht="12.5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spans="1:24" ht="12.5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spans="1:24" ht="12.5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spans="1:24" ht="12.5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spans="1:24" ht="12.5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spans="1:24" ht="12.5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 spans="1:24" ht="12.5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 spans="1:24" ht="12.5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 spans="1:24" ht="12.5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 spans="1:24" ht="12.5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 spans="1:24" ht="12.5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 spans="1:24" ht="12.5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 spans="1:24" ht="12.5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 spans="1:24" ht="12.5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 spans="1:24" ht="12.5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 spans="1:24" ht="12.5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 spans="1:24" ht="12.5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 spans="1:24" ht="12.5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 spans="1:24" ht="12.5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 spans="1:24" ht="12.5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 spans="1:24" ht="12.5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 spans="1:24" ht="12.5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spans="1:24" ht="12.5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spans="1:24" ht="12.5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spans="1:24" ht="12.5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spans="1:24" ht="12.5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spans="1:24" ht="12.5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spans="1:24" ht="12.5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spans="1:24" ht="12.5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spans="1:24" ht="12.5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spans="1:24" ht="12.5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spans="1:24" ht="12.5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spans="1:24" ht="12.5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spans="1:24" ht="12.5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spans="1:24" ht="12.5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spans="1:24" ht="12.5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spans="1:24" ht="12.5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spans="1:24" ht="12.5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spans="1:24" ht="12.5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spans="1:24" ht="12.5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spans="1:24" ht="12.5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spans="1:24" ht="12.5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spans="1:24" ht="12.5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spans="1:24" ht="12.5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spans="1:24" ht="12.5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spans="1:24" ht="12.5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spans="1:24" ht="12.5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spans="1:24" ht="12.5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spans="1:24" ht="12.5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spans="1:24" ht="12.5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spans="1:24" ht="12.5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spans="1:24" ht="12.5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spans="1:24" ht="12.5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spans="1:24" ht="12.5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spans="1:24" ht="12.5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spans="1:24" ht="12.5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spans="1:24" ht="12.5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spans="1:24" ht="12.5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spans="1:24" ht="12.5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spans="1:24" ht="12.5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spans="1:24" ht="12.5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spans="1:24" ht="12.5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spans="1:24" ht="12.5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spans="1:24" ht="12.5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spans="1:24" ht="12.5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spans="1:24" ht="12.5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spans="1:24" ht="12.5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spans="1:24" ht="12.5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spans="1:24" ht="12.5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spans="1:24" ht="12.5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spans="1:24" ht="12.5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spans="1:24" ht="12.5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spans="1:24" ht="12.5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spans="1:24" ht="12.5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spans="1:24" ht="12.5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spans="1:24" ht="12.5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spans="1:24" ht="12.5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spans="1:24" ht="12.5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spans="1:24" ht="12.5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spans="1:24" ht="12.5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spans="1:24" ht="12.5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spans="1:24" ht="12.5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spans="1:24" ht="12.5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spans="1:24" ht="12.5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spans="1:24" ht="12.5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spans="1:24" ht="12.5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spans="1:24" ht="12.5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spans="1:24" ht="12.5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spans="1:24" ht="12.5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spans="1:24" ht="12.5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spans="1:24" ht="12.5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spans="1:24" ht="12.5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spans="1:24" ht="12.5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spans="1:24" ht="12.5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spans="1:24" ht="12.5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spans="1:24" ht="12.5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spans="1:24" ht="12.5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spans="1:24" ht="12.5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spans="1:24" ht="12.5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spans="1:24" ht="12.5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spans="1:24" ht="12.5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spans="1:24" ht="12.5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spans="1:24" ht="12.5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spans="1:24" ht="12.5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spans="1:24" ht="12.5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spans="1:24" ht="12.5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spans="1:24" ht="12.5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spans="1:24" ht="12.5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spans="1:24" ht="12.5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spans="1:24" ht="12.5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spans="1:24" ht="12.5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spans="1:24" ht="12.5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spans="1:24" ht="12.5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spans="1:24" ht="12.5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spans="1:24" ht="12.5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spans="1:24" ht="12.5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spans="1:24" ht="12.5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spans="1:24" ht="12.5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 spans="1:24" ht="12.5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 spans="1:24" ht="12.5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 spans="1:24" ht="12.5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 spans="1:24" ht="12.5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 spans="1:24" ht="12.5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 spans="1:24" ht="12.5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 spans="1:24" ht="12.5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 spans="1:24" ht="12.5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 spans="1:24" ht="12.5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 spans="1:24" ht="12.5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 spans="1:24" ht="12.5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 spans="1:24" ht="12.5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 spans="1:24" ht="12.5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 spans="1:24" ht="12.5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spans="1:24" ht="12.5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 spans="1:24" ht="12.5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spans="1:24" ht="12.5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spans="1:24" ht="12.5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spans="1:24" ht="12.5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spans="1:24" ht="12.5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spans="1:24" ht="12.5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spans="1:24" ht="12.5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spans="1:24" ht="12.5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spans="1:24" ht="12.5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spans="1:24" ht="12.5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spans="1:24" ht="12.5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spans="1:24" ht="12.5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spans="1:24" ht="12.5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spans="1:24" ht="12.5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spans="1:24" ht="12.5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spans="1:24" ht="12.5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spans="1:24" ht="12.5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 spans="1:24" ht="12.5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 spans="1:24" ht="12.5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 spans="1:24" ht="12.5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 spans="1:24" ht="12.5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 spans="1:24" ht="12.5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 spans="1:24" ht="12.5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 spans="1:24" ht="12.5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 spans="1:24" ht="12.5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 spans="1:24" ht="12.5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 spans="1:24" ht="12.5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 spans="1:24" ht="12.5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 spans="1:24" ht="12.5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 spans="1:24" ht="12.5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 spans="1:24" ht="12.5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 spans="1:24" ht="12.5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 spans="1:24" ht="12.5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 spans="1:24" ht="12.5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 spans="1:24" ht="12.5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 spans="1:24" ht="12.5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 spans="1:24" ht="12.5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 spans="1:24" ht="12.5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 spans="1:24" ht="12.5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 spans="1:24" ht="12.5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 spans="1:24" ht="12.5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 spans="1:24" ht="12.5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 spans="1:24" ht="12.5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 spans="1:24" ht="12.5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 spans="1:24" ht="12.5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 spans="1:24" ht="12.5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 spans="1:24" ht="12.5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 spans="1:24" ht="12.5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 spans="1:24" ht="12.5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spans="1:24" ht="12.5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spans="1:24" ht="12.5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spans="1:24" ht="12.5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spans="1:24" ht="12.5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spans="1:24" ht="12.5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spans="1:24" ht="12.5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spans="1:24" ht="12.5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spans="1:24" ht="12.5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spans="1:24" ht="12.5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spans="1:24" ht="12.5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spans="1:24" ht="12.5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spans="1:24" ht="12.5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spans="1:24" ht="12.5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spans="1:24" ht="12.5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spans="1:24" ht="12.5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spans="1:24" ht="12.5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spans="1:24" ht="12.5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spans="1:24" ht="12.5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spans="1:24" ht="12.5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spans="1:24" ht="12.5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spans="1:24" ht="12.5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spans="1:24" ht="12.5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spans="1:24" ht="12.5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spans="1:24" ht="12.5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spans="1:24" ht="12.5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spans="1:24" ht="12.5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spans="1:24" ht="12.5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spans="1:24" ht="12.5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spans="1:24" ht="12.5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spans="1:24" ht="12.5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spans="1:24" ht="12.5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spans="1:24" ht="12.5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spans="1:24" ht="12.5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spans="1:24" ht="12.5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spans="1:24" ht="12.5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spans="1:24" ht="12.5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spans="1:24" ht="12.5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spans="1:24" ht="12.5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spans="1:24" ht="12.5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spans="1:24" ht="12.5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spans="1:24" ht="12.5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spans="1:24" ht="12.5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spans="1:24" ht="12.5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spans="1:24" ht="12.5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spans="1:24" ht="12.5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spans="1:24" ht="12.5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spans="1:24" ht="12.5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spans="1:24" ht="12.5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spans="1:24" ht="12.5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spans="1:24" ht="12.5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spans="1:24" ht="12.5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spans="1:24" ht="12.5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spans="1:24" ht="12.5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spans="1:24" ht="12.5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spans="1:24" ht="12.5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spans="1:24" ht="12.5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spans="1:24" ht="12.5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spans="1:24" ht="12.5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spans="1:24" ht="12.5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spans="1:24" ht="12.5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spans="1:24" ht="12.5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spans="1:24" ht="12.5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spans="1:24" ht="12.5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spans="1:24" ht="12.5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spans="1:24" ht="12.5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spans="1:24" ht="12.5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spans="1:24" ht="12.5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spans="1:24" ht="12.5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spans="1:24" ht="12.5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spans="1:24" ht="12.5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spans="1:24" ht="12.5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spans="1:24" ht="12.5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spans="1:24" ht="12.5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spans="1:24" ht="12.5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spans="1:24" ht="12.5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spans="1:24" ht="12.5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spans="1:24" ht="12.5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spans="1:24" ht="12.5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spans="1:24" ht="12.5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spans="1:24" ht="12.5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spans="1:24" ht="12.5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spans="1:24" ht="12.5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spans="1:24" ht="12.5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spans="1:24" ht="12.5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spans="1:24" ht="12.5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spans="1:24" ht="12.5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spans="1:24" ht="12.5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spans="1:24" ht="12.5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spans="1:24" ht="12.5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spans="1:24" ht="12.5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spans="1:24" ht="12.5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spans="1:24" ht="12.5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spans="1:24" ht="12.5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spans="1:24" ht="12.5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spans="1:24" ht="12.5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spans="1:24" ht="12.5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spans="1:24" ht="12.5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spans="1:24" ht="12.5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spans="1:24" ht="12.5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spans="1:24" ht="12.5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spans="1:24" ht="12.5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spans="1:24" ht="12.5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spans="1:24" ht="12.5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spans="1:24" ht="12.5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spans="1:24" ht="12.5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spans="1:24" ht="12.5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spans="1:24" ht="12.5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spans="1:24" ht="12.5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spans="1:24" ht="12.5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spans="1:24" ht="12.5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spans="1:24" ht="12.5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spans="1:24" ht="12.5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spans="1:24" ht="12.5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spans="1:24" ht="12.5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spans="1:24" ht="12.5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spans="1:24" ht="12.5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spans="1:24" ht="12.5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spans="1:24" ht="12.5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spans="1:24" ht="12.5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spans="1:24" ht="12.5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spans="1:24" ht="12.5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spans="1:24" ht="12.5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spans="1:24" ht="12.5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spans="1:24" ht="12.5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spans="1:24" ht="12.5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spans="1:24" ht="12.5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spans="1:24" ht="12.5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spans="1:24" ht="12.5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spans="1:24" ht="12.5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spans="1:24" ht="12.5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spans="1:24" ht="12.5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spans="1:24" ht="12.5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spans="1:24" ht="12.5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spans="1:24" ht="12.5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spans="1:24" ht="12.5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spans="1:24" ht="12.5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spans="1:24" ht="12.5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spans="1:24" ht="12.5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spans="1:24" ht="12.5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spans="1:24" ht="12.5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spans="1:24" ht="12.5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spans="1:24" ht="12.5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spans="1:24" ht="12.5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spans="1:24" ht="12.5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spans="1:24" ht="12.5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spans="1:24" ht="12.5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spans="1:24" ht="12.5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spans="1:24" ht="12.5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spans="1:24" ht="12.5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spans="1:24" ht="12.5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spans="1:24" ht="12.5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spans="1:24" ht="12.5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spans="1:24" ht="12.5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spans="1:24" ht="12.5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spans="1:24" ht="12.5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spans="1:24" ht="12.5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spans="1:24" ht="12.5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spans="1:24" ht="12.5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spans="1:24" ht="12.5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spans="1:24" ht="12.5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spans="1:24" ht="12.5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spans="1:24" ht="12.5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spans="1:24" ht="12.5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spans="1:24" ht="12.5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spans="1:24" ht="12.5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spans="1:24" ht="12.5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spans="1:24" ht="12.5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spans="1:24" ht="12.5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spans="1:24" ht="12.5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spans="1:24" ht="12.5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spans="1:24" ht="12.5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spans="1:24" ht="12.5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spans="1:24" ht="12.5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spans="1:24" ht="12.5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spans="1:24" ht="12.5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spans="1:24" ht="12.5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spans="1:24" ht="12.5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spans="1:24" ht="12.5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spans="1:24" ht="12.5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spans="1:24" ht="12.5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spans="1:24" ht="12.5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spans="1:24" ht="12.5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spans="1:24" ht="12.5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spans="1:24" ht="12.5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spans="1:24" ht="12.5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spans="1:24" ht="12.5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spans="1:24" ht="12.5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spans="1:24" ht="12.5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spans="1:24" ht="12.5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spans="1:24" ht="12.5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spans="1:24" ht="12.5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spans="1:24" ht="12.5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spans="1:24" ht="12.5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spans="1:24" ht="12.5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spans="1:24" ht="12.5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spans="1:24" ht="12.5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spans="1:24" ht="12.5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spans="1:24" ht="12.5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spans="1:24" ht="12.5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spans="1:24" ht="12.5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spans="1:24" ht="12.5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spans="1:24" ht="12.5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spans="1:24" ht="12.5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spans="1:24" ht="12.5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spans="1:24" ht="12.5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spans="1:24" ht="12.5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spans="1:24" ht="12.5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spans="1:24" ht="12.5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spans="1:24" ht="12.5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spans="1:24" ht="12.5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spans="1:24" ht="12.5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spans="1:24" ht="12.5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spans="1:24" ht="12.5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spans="1:24" ht="12.5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spans="1:24" ht="12.5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spans="1:24" ht="12.5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spans="1:24" ht="12.5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spans="1:24" ht="12.5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spans="1:24" ht="12.5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spans="1:24" ht="12.5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spans="1:24" ht="12.5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spans="1:24" ht="12.5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spans="1:24" ht="12.5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spans="1:24" ht="12.5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spans="1:24" ht="12.5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spans="1:24" ht="12.5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spans="1:24" ht="12.5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spans="1:24" ht="12.5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spans="1:24" ht="12.5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spans="1:24" ht="12.5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spans="1:24" ht="12.5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spans="1:24" ht="12.5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spans="1:24" ht="12.5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spans="1:24" ht="12.5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spans="1:24" ht="12.5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spans="1:24" ht="12.5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spans="1:24" ht="12.5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spans="1:24" ht="12.5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spans="1:24" ht="12.5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spans="1:24" ht="12.5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spans="1:24" ht="12.5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spans="1:24" ht="12.5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spans="1:24" ht="12.5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spans="1:24" ht="12.5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spans="1:24" ht="12.5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spans="1:24" ht="12.5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spans="1:24" ht="12.5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spans="1:24" ht="12.5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spans="1:24" ht="12.5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spans="1:24" ht="12.5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spans="1:24" ht="12.5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spans="1:24" ht="12.5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spans="1:24" ht="12.5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spans="1:24" ht="12.5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spans="1:24" ht="12.5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spans="1:24" ht="12.5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spans="1:24" ht="12.5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spans="1:24" ht="12.5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spans="1:24" ht="12.5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spans="1:24" ht="12.5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spans="1:24" ht="12.5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spans="1:24" ht="12.5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spans="1:24" ht="12.5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spans="1:24" ht="12.5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spans="1:24" ht="12.5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spans="1:24" ht="12.5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spans="1:24" ht="12.5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spans="1:24" ht="12.5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spans="1:24" ht="12.5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spans="1:24" ht="12.5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spans="1:24" ht="12.5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spans="1:24" ht="12.5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spans="1:24" ht="12.5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spans="1:24" ht="12.5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spans="1:24" ht="12.5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spans="1:24" ht="12.5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spans="1:24" ht="12.5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 spans="1:24" ht="12.5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 spans="1:24" ht="12.5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 spans="1:24" ht="12.5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 spans="1:24" ht="12.5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 spans="1:24" ht="12.5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 spans="1:24" ht="12.5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 spans="1:24" ht="12.5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 spans="1:24" ht="12.5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 spans="1:24" ht="12.5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 spans="1:24" ht="12.5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 spans="1:24" ht="12.5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 spans="1:24" ht="12.5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 spans="1:24" ht="12.5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 spans="1:24" ht="12.5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 spans="1:24" ht="12.5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 spans="1:24" ht="12.5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 spans="1:24" ht="12.5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 spans="1:24" ht="12.5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 spans="1:24" ht="12.5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 spans="1:24" ht="12.5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 spans="1:24" ht="12.5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 spans="1:24" ht="12.5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 spans="1:24" ht="12.5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 spans="1:24" ht="12.5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 spans="1:24" ht="12.5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 spans="1:24" ht="12.5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 spans="1:24" ht="12.5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 spans="1:24" ht="12.5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 spans="1:24" ht="12.5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 spans="1:24" ht="12.5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 spans="1:24" ht="12.5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 spans="1:24" ht="12.5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 spans="1:24" ht="12.5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 spans="1:24" ht="12.5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 spans="1:24" ht="12.5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 spans="1:24" ht="12.5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 spans="1:24" ht="12.5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 spans="1:24" ht="12.5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 spans="1:24" ht="12.5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 spans="1:24" ht="12.5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 spans="1:24" ht="12.5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 spans="1:24" ht="12.5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 spans="1:24" ht="12.5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 spans="1:24" ht="12.5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 spans="1:24" ht="12.5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 spans="1:24" ht="12.5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 spans="1:24" ht="12.5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 spans="1:24" ht="12.5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 spans="1:24" ht="12.5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 spans="1:24" ht="12.5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 spans="1:24" ht="12.5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 spans="1:24" ht="12.5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 spans="1:24" ht="12.5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 spans="1:24" ht="12.5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 spans="1:24" ht="12.5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 spans="1:24" ht="12.5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 spans="1:24" ht="12.5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 spans="1:24" ht="12.5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 spans="1:24" ht="12.5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 spans="1:24" ht="12.5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 spans="1:24" ht="12.5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 spans="1:24" ht="12.5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 spans="1:24" ht="12.5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 spans="1:24" ht="12.5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 spans="1:24" ht="12.5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 spans="1:24" ht="12.5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 spans="1:24" ht="12.5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 spans="1:24" ht="12.5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 spans="1:24" ht="12.5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 spans="1:24" ht="12.5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 spans="1:24" ht="12.5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 spans="1:24" ht="12.5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 spans="1:24" ht="12.5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 spans="1:24" ht="12.5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 spans="1:24" ht="12.5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 spans="1:24" ht="12.5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 spans="1:24" ht="12.5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 spans="1:24" ht="12.5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 spans="1:24" ht="12.5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 spans="1:24" ht="12.5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 spans="1:24" ht="12.5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 spans="1:24" ht="12.5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 spans="1:24" ht="12.5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 spans="1:24" ht="12.5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 spans="1:24" ht="12.5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 spans="1:24" ht="12.5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 spans="1:24" ht="12.5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 spans="1:24" ht="12.5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 spans="1:24" ht="12.5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 spans="1:24" ht="12.5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 spans="1:24" ht="12.5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 spans="1:24" ht="12.5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 spans="1:24" ht="12.5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 spans="1:24" ht="12.5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 spans="1:24" ht="12.5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 spans="1:24" ht="12.5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 spans="1:24" ht="12.5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 spans="1:24" ht="12.5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 spans="1:24" ht="12.5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 spans="1:24" ht="12.5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 spans="1:24" ht="12.5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 spans="1:24" ht="12.5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 spans="1:24" ht="12.5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 spans="1:24" ht="12.5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 spans="1:24" ht="12.5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 spans="1:24" ht="12.5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 spans="1:24" ht="12.5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 spans="1:24" ht="12.5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 spans="1:24" ht="12.5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 spans="1:24" ht="12.5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 spans="1:24" ht="12.5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 spans="1:24" ht="12.5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 spans="1:24" ht="12.5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 spans="1:24" ht="12.5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 spans="1:24" ht="12.5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 spans="1:24" ht="12.5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 spans="1:24" ht="12.5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 spans="1:24" ht="12.5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 spans="1:24" ht="12.5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 spans="1:24" ht="12.5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 spans="1:24" ht="12.5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 spans="1:24" ht="12.5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 spans="1:24" ht="12.5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 spans="1:24" ht="12.5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 spans="1:24" ht="12.5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 spans="1:24" ht="12.5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 spans="1:24" ht="12.5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 spans="1:24" ht="12.5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 spans="1:24" ht="12.5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 spans="1:24" ht="12.5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 spans="1:24" ht="12.5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 spans="1:24" ht="12.5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 spans="1:24" ht="12.5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 spans="1:24" ht="12.5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 spans="1:24" ht="12.5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 spans="1:24" ht="12.5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 spans="1:24" ht="12.5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 spans="1:24" ht="12.5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 spans="1:24" ht="12.5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 spans="1:24" ht="12.5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 spans="1:24" ht="12.5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 spans="1:24" ht="12.5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 spans="1:24" ht="12.5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 spans="1:24" ht="12.5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 spans="1:24" ht="12.5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 spans="1:24" ht="12.5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 spans="1:24" ht="12.5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 spans="1:24" ht="12.5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5-11 Ocak Hakediş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mert özkaya</cp:lastModifiedBy>
  <dcterms:modified xsi:type="dcterms:W3CDTF">2026-01-30T18:50:40Z</dcterms:modified>
</cp:coreProperties>
</file>