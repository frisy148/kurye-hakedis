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2-8 Şubat Hakediş" sheetId="1" r:id="rId1"/>
  </sheets>
  <definedNames>
    <definedName name="_xlnm._FilterDatabase" localSheetId="0" hidden="1">'2-8 Şubat Hakediş'!$A$1:$W$145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<sst xmlns="http://schemas.openxmlformats.org/spreadsheetml/2006/main" count="309" uniqueCount="201">
  <si>
    <t>ID</t>
  </si>
  <si>
    <t>Ad Soyad</t>
  </si>
  <si>
    <t>Bölge</t>
  </si>
  <si>
    <t>Tekli Paket</t>
  </si>
  <si>
    <t>Çoklu Paket</t>
  </si>
  <si>
    <t>Tekli Paket Tutarı</t>
  </si>
  <si>
    <t>Çoklu Paket Tutarı</t>
  </si>
  <si>
    <t>Kilometre Mesafe Tutarı</t>
  </si>
  <si>
    <t>Garanti Bölge Tutarı</t>
  </si>
  <si>
    <t>Haftalık Ek Paket Tutarı</t>
  </si>
  <si>
    <t>Bahşiş Tutar</t>
  </si>
  <si>
    <t>Toplam Hakediş</t>
  </si>
  <si>
    <t>Tevkifat Tutar</t>
  </si>
  <si>
    <t>Alınan Nakit</t>
  </si>
  <si>
    <t>Kredi Kartı    (Nakite Çevirme)</t>
  </si>
  <si>
    <t>Yemeksepeti Sigorta Kesintisi</t>
  </si>
  <si>
    <t>Ssk Ve İş Güvenliği Kesintisi</t>
  </si>
  <si>
    <t>Saha Kesintileri</t>
  </si>
  <si>
    <t>Ekipman Kesintisi</t>
  </si>
  <si>
    <t>Nakit, Kredi Kartı Ve Sigorta Kesintisi Toplamı</t>
  </si>
  <si>
    <t>İade Edilmesi Gereken Maaş Tutarı</t>
  </si>
  <si>
    <t>Yemeksepeti İade (YapıKredi)</t>
  </si>
  <si>
    <t>Ödenecek Tutar</t>
  </si>
  <si>
    <t>Nurgeldi Hojayev</t>
  </si>
  <si>
    <t>Besiktas</t>
  </si>
  <si>
    <t>Yusuf Aydın</t>
  </si>
  <si>
    <t>Maden</t>
  </si>
  <si>
    <t>Halil İbrahim Seyrek</t>
  </si>
  <si>
    <t>Bolu</t>
  </si>
  <si>
    <t>Hasan Dere</t>
  </si>
  <si>
    <t>Mustafa Fırat Seyitoğlu</t>
  </si>
  <si>
    <t>Karsiyaka</t>
  </si>
  <si>
    <t>Mustafa Kıvrakdal</t>
  </si>
  <si>
    <t>Mehmet Salih Alpboğa</t>
  </si>
  <si>
    <t>Kartalcumhuriyet</t>
  </si>
  <si>
    <t>Hasan Irmak</t>
  </si>
  <si>
    <t>Mehmet Erdoğmuş</t>
  </si>
  <si>
    <t>Taner Çam</t>
  </si>
  <si>
    <t>İbrahim Can Vural</t>
  </si>
  <si>
    <t>Esat</t>
  </si>
  <si>
    <t>Muhammed Yusuf Kazan</t>
  </si>
  <si>
    <t>Coşkun Yeşilyurt</t>
  </si>
  <si>
    <t>Berkay İhsan Yavuz</t>
  </si>
  <si>
    <t>Mutlu Atasever</t>
  </si>
  <si>
    <t>Beylikdüzü</t>
  </si>
  <si>
    <t>Mustafa Abay</t>
  </si>
  <si>
    <t>Beyhekim</t>
  </si>
  <si>
    <t>İbrahim Göntürk</t>
  </si>
  <si>
    <t>Oğuzhan Bayşu</t>
  </si>
  <si>
    <t>Fatih Türkmen</t>
  </si>
  <si>
    <t>Yaşar Deniz Yavuz</t>
  </si>
  <si>
    <t>Kadikoy</t>
  </si>
  <si>
    <t>Emirhan Taşkıran</t>
  </si>
  <si>
    <t>Kecioren</t>
  </si>
  <si>
    <t>Furkan İkinci</t>
  </si>
  <si>
    <t>Ebubekir Adırbelli</t>
  </si>
  <si>
    <t>Ebubekir Üçel</t>
  </si>
  <si>
    <t>Maltepe</t>
  </si>
  <si>
    <t>Burak Resul Ceyhan</t>
  </si>
  <si>
    <t>Koray Mutlu</t>
  </si>
  <si>
    <t>Deniz Yıldız</t>
  </si>
  <si>
    <t>Etimesgut</t>
  </si>
  <si>
    <t>Seyfullah Orabi</t>
  </si>
  <si>
    <t>Bayrampasa</t>
  </si>
  <si>
    <t>Murat Paşa Kaya</t>
  </si>
  <si>
    <t>Tuzla</t>
  </si>
  <si>
    <t>Soner Tunagecen</t>
  </si>
  <si>
    <t>Hamza Ertarğun</t>
  </si>
  <si>
    <t>Selim Köysü</t>
  </si>
  <si>
    <t>Bahcelievler</t>
  </si>
  <si>
    <t>Yasin Başdost</t>
  </si>
  <si>
    <t>Muhammed Karakaya</t>
  </si>
  <si>
    <t>Afyon</t>
  </si>
  <si>
    <t>Aykan Öztürk</t>
  </si>
  <si>
    <t>Luleburgaz</t>
  </si>
  <si>
    <t>İsmail Arpa</t>
  </si>
  <si>
    <t>Mehmet Ali Kaynak</t>
  </si>
  <si>
    <t>Bornova</t>
  </si>
  <si>
    <t>Mustafa Kemal Manay</t>
  </si>
  <si>
    <t>Muhammed Avcu</t>
  </si>
  <si>
    <t>Ferhat Şener</t>
  </si>
  <si>
    <t>Armağan Güllüpaşa</t>
  </si>
  <si>
    <t>Mucahitler</t>
  </si>
  <si>
    <t>Abdulsamed Koç</t>
  </si>
  <si>
    <t>Muhammed Fethullah Balcıoğlu</t>
  </si>
  <si>
    <t>Talha Dağ</t>
  </si>
  <si>
    <t>Mustafa Paşa</t>
  </si>
  <si>
    <t>Efeler</t>
  </si>
  <si>
    <t>Tayfun Canel</t>
  </si>
  <si>
    <t>Hasan Abid Elhamid</t>
  </si>
  <si>
    <t>Doğukan Bakırcı</t>
  </si>
  <si>
    <t>Emre Bingöl</t>
  </si>
  <si>
    <t>Konak</t>
  </si>
  <si>
    <t>Emre Çağlar</t>
  </si>
  <si>
    <t>Yusuf Balyemez</t>
  </si>
  <si>
    <t>Yunus Sever</t>
  </si>
  <si>
    <t>Muhammed Ekrem Tural</t>
  </si>
  <si>
    <t>Cekmekoy</t>
  </si>
  <si>
    <t>Muhammet Uz</t>
  </si>
  <si>
    <t>Hamza Gündoğdu</t>
  </si>
  <si>
    <t>Deniz Çelik</t>
  </si>
  <si>
    <t>Furkan Akkutlu</t>
  </si>
  <si>
    <t>Basaksehir</t>
  </si>
  <si>
    <t>Fatih Güler</t>
  </si>
  <si>
    <t>Kucukcekmece</t>
  </si>
  <si>
    <t>Davut Topbaş</t>
  </si>
  <si>
    <t>Arif Keskin Kaya</t>
  </si>
  <si>
    <t>Furkat Matyakubow</t>
  </si>
  <si>
    <t>Fatih</t>
  </si>
  <si>
    <t>Ahmet Güllü</t>
  </si>
  <si>
    <t>Selcuklu</t>
  </si>
  <si>
    <t>Ufuk Tekin</t>
  </si>
  <si>
    <t>Hamza Aykanat</t>
  </si>
  <si>
    <t>Mustafa Erim</t>
  </si>
  <si>
    <t>Yunus Emre Turan</t>
  </si>
  <si>
    <t>Miraç Çığır</t>
  </si>
  <si>
    <t>Ömer Tan</t>
  </si>
  <si>
    <t>Eray Yıldırım</t>
  </si>
  <si>
    <t>Bahtiyar Gazi</t>
  </si>
  <si>
    <t>Ahmet Kornaz</t>
  </si>
  <si>
    <t>Nedim Can Duruk</t>
  </si>
  <si>
    <t>Izmit</t>
  </si>
  <si>
    <t>İlhan Maraşlı</t>
  </si>
  <si>
    <t>Halil İbrahim Başaran</t>
  </si>
  <si>
    <t>Abdullah Onur Aydemir</t>
  </si>
  <si>
    <t>Süleyman Atlan</t>
  </si>
  <si>
    <t>Turgay Kumuş</t>
  </si>
  <si>
    <t>Nuri Ger</t>
  </si>
  <si>
    <t>Emirhan Turunçtur</t>
  </si>
  <si>
    <t>Selçuk Koçyiğit</t>
  </si>
  <si>
    <t>Eren Araz</t>
  </si>
  <si>
    <t>Musap Gökalp</t>
  </si>
  <si>
    <t>Osman Ağır</t>
  </si>
  <si>
    <t>Osmangazi</t>
  </si>
  <si>
    <t>Selim Deniz</t>
  </si>
  <si>
    <t>Muhammed Can Toprak</t>
  </si>
  <si>
    <t>Mehmet Umut Abay</t>
  </si>
  <si>
    <t>Mehmet Üner</t>
  </si>
  <si>
    <t>Yusuf Doğan</t>
  </si>
  <si>
    <t>Volkan Er</t>
  </si>
  <si>
    <t>Muhammed Konuralp Dağyıkan</t>
  </si>
  <si>
    <t>Salih Güllü</t>
  </si>
  <si>
    <t>Yunus Emre Şahin</t>
  </si>
  <si>
    <t>Korfezkent</t>
  </si>
  <si>
    <t>Mert Keskin</t>
  </si>
  <si>
    <t>Kenan Göçer</t>
  </si>
  <si>
    <t>Numan Ogün Yerli</t>
  </si>
  <si>
    <t>Ekrem Tosyalı</t>
  </si>
  <si>
    <t>Ahmed Arabı</t>
  </si>
  <si>
    <t>İsmail Ege Badem</t>
  </si>
  <si>
    <t>Cerkezkoy</t>
  </si>
  <si>
    <t>Emincan Alan</t>
  </si>
  <si>
    <t>İhsan Albayrak</t>
  </si>
  <si>
    <t>Alper Altunbaş</t>
  </si>
  <si>
    <t>Gulistan</t>
  </si>
  <si>
    <t>Mehmet Tumbul</t>
  </si>
  <si>
    <t>Tamer Demiroğlu</t>
  </si>
  <si>
    <t>Yaşar Öztürk</t>
  </si>
  <si>
    <t>Cihan Akkuş</t>
  </si>
  <si>
    <t>Ferhat Ay</t>
  </si>
  <si>
    <t>Ahmet Aslan</t>
  </si>
  <si>
    <t>Savaş Selen</t>
  </si>
  <si>
    <t>Mustafa Burak Yaban</t>
  </si>
  <si>
    <t>Aziz Demirözü</t>
  </si>
  <si>
    <t>Eren Çırak</t>
  </si>
  <si>
    <t>Gumbet</t>
  </si>
  <si>
    <t>Okay Yalvaç</t>
  </si>
  <si>
    <t>Kusadasi</t>
  </si>
  <si>
    <t>İshak Hakkı Solakay</t>
  </si>
  <si>
    <t>Ömer Talha Çelik</t>
  </si>
  <si>
    <t>Muhammed Emin Bekboğa</t>
  </si>
  <si>
    <t>Yunus Çodar</t>
  </si>
  <si>
    <t>Tekin Sevimli</t>
  </si>
  <si>
    <t>Ali Anıl Aydoğdu</t>
  </si>
  <si>
    <t>Cemil Dursun</t>
  </si>
  <si>
    <t>Muhammed Furkan Kaynar</t>
  </si>
  <si>
    <t>Onur Tokgözol</t>
  </si>
  <si>
    <t>Emre Meriç</t>
  </si>
  <si>
    <t>Alper Cem Öktem</t>
  </si>
  <si>
    <t>Ömer Yılmaz</t>
  </si>
  <si>
    <t>Berkay Gökgöz</t>
  </si>
  <si>
    <t>Safranbolu</t>
  </si>
  <si>
    <t>Usame Güler</t>
  </si>
  <si>
    <t>Kenan Atik</t>
  </si>
  <si>
    <t>Onur Irmak</t>
  </si>
  <si>
    <t>Yusuf Arda Alkan</t>
  </si>
  <si>
    <t>Bilal Bilen</t>
  </si>
  <si>
    <t>Samet Akdağ</t>
  </si>
  <si>
    <t>Arda Irmak</t>
  </si>
  <si>
    <t>Eyyüp Köysü</t>
  </si>
  <si>
    <t>Elanur Gül</t>
  </si>
  <si>
    <t>Yener Yılmaz</t>
  </si>
  <si>
    <t>Mehmet Ali Kılıç</t>
  </si>
  <si>
    <t>Salih Yafes Karakaya</t>
  </si>
  <si>
    <t>Pamukkale</t>
  </si>
  <si>
    <t>Mustafa Doğan</t>
  </si>
  <si>
    <t>Kadir Yılmaz</t>
  </si>
  <si>
    <t>Yasin Yeşil</t>
  </si>
  <si>
    <t>Ayşenur Sadık</t>
  </si>
  <si>
    <t>Savaş Kaya</t>
  </si>
  <si>
    <t>Berkay Hızalan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</si>
</sst>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4" fontId="2" fillId="3" borderId="3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3" fontId="2" fillId="4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4" fontId="2" fillId="5" borderId="3" xfId="0" applyNumberFormat="1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2" fillId="6" borderId="3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952"/>
  <sheetViews>
    <sheetView tabSelected="1" workbookViewId="0">
      <selection activeCell="G6" sqref="G6"/>
    </sheetView>
  </sheetViews>
  <sheetFormatPr defaultColWidth="12.6296296296296" defaultRowHeight="15.75" customHeight="1"/>
  <cols>
    <col min="1" max="1" width="7.62962962962963" customWidth="1"/>
    <col min="2" max="2" width="26.3333333333333" customWidth="1"/>
    <col min="3" max="3" width="14.6666666666667" customWidth="1"/>
    <col min="4" max="4" width="8.5" customWidth="1"/>
    <col min="5" max="5" width="8.62962962962963" customWidth="1"/>
    <col min="6" max="6" width="9.87962962962963" customWidth="1"/>
    <col min="7" max="7" width="10.3796296296296" customWidth="1"/>
    <col min="8" max="8" width="10.25" customWidth="1"/>
    <col min="9" max="9" width="10.6296296296296" customWidth="1"/>
    <col min="10" max="10" width="12" customWidth="1"/>
    <col min="11" max="11" width="9.75" customWidth="1"/>
    <col min="12" max="12" width="9.37962962962963" customWidth="1"/>
    <col min="13" max="13" width="8.37962962962963" customWidth="1"/>
    <col min="14" max="14" width="8.55555555555556" customWidth="1"/>
    <col min="15" max="15" width="10.6296296296296" customWidth="1"/>
    <col min="16" max="16" width="11.8796296296296" customWidth="1"/>
    <col min="17" max="17" width="11.5" customWidth="1"/>
    <col min="18" max="18" width="10.1296296296296" customWidth="1"/>
    <col min="19" max="19" width="10" customWidth="1"/>
    <col min="20" max="20" width="14.5" customWidth="1"/>
    <col min="21" max="21" width="11.1296296296296" customWidth="1"/>
    <col min="22" max="22" width="12.5" customWidth="1"/>
    <col min="23" max="23" width="10.3796296296296" customWidth="1"/>
  </cols>
  <sheetData>
    <row r="1" ht="54.75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8" customHeight="1" spans="1:23">
      <c r="A2" s="2">
        <v>4415263</v>
      </c>
      <c r="B2" s="3" t="s">
        <v>23</v>
      </c>
      <c r="C2" s="3" t="s">
        <v>24</v>
      </c>
      <c r="D2" s="3">
        <v>121</v>
      </c>
      <c r="E2" s="3">
        <v>168</v>
      </c>
      <c r="F2" s="4">
        <v>5747.7</v>
      </c>
      <c r="G2" s="4">
        <v>8574.08</v>
      </c>
      <c r="H2" s="4">
        <v>3668.13</v>
      </c>
      <c r="I2" s="3">
        <v>0</v>
      </c>
      <c r="J2" s="4">
        <v>1875</v>
      </c>
      <c r="K2" s="3">
        <v>283.33</v>
      </c>
      <c r="L2" s="4">
        <v>20148.24</v>
      </c>
      <c r="M2" s="3">
        <v>805.93</v>
      </c>
      <c r="N2" s="4">
        <v>12609.27</v>
      </c>
      <c r="O2" s="3">
        <v>446.98</v>
      </c>
      <c r="P2" s="3">
        <v>96.04</v>
      </c>
      <c r="Q2" s="11">
        <v>0</v>
      </c>
      <c r="R2" s="3">
        <v>0</v>
      </c>
      <c r="S2" s="11">
        <v>0</v>
      </c>
      <c r="T2" s="4">
        <v>13152.29</v>
      </c>
      <c r="U2" s="11">
        <v>0</v>
      </c>
      <c r="V2" s="4">
        <v>11250</v>
      </c>
      <c r="W2" s="12">
        <f t="shared" ref="W2:W48" si="0">(L2)-(T2)-(M2)-(Q2)-(U2)-(S2)+(V2)</f>
        <v>17440.02</v>
      </c>
    </row>
    <row r="3" ht="16.5" customHeight="1" spans="1:23">
      <c r="A3" s="2">
        <v>4353697</v>
      </c>
      <c r="B3" s="3" t="s">
        <v>25</v>
      </c>
      <c r="C3" s="3" t="s">
        <v>26</v>
      </c>
      <c r="D3" s="3">
        <v>148</v>
      </c>
      <c r="E3" s="3">
        <v>209</v>
      </c>
      <c r="F3" s="4">
        <v>6250.7</v>
      </c>
      <c r="G3" s="4">
        <v>9407.45</v>
      </c>
      <c r="H3" s="4">
        <v>4814.59</v>
      </c>
      <c r="I3" s="3">
        <v>0</v>
      </c>
      <c r="J3" s="4">
        <v>4375</v>
      </c>
      <c r="K3" s="3">
        <v>258.33</v>
      </c>
      <c r="L3" s="4">
        <v>25106.07</v>
      </c>
      <c r="M3" s="4">
        <v>1004.24</v>
      </c>
      <c r="N3" s="4">
        <v>5967.48</v>
      </c>
      <c r="O3" s="4">
        <v>1929.46</v>
      </c>
      <c r="P3" s="3">
        <v>96.04</v>
      </c>
      <c r="Q3" s="4">
        <v>500</v>
      </c>
      <c r="R3" s="3">
        <v>0</v>
      </c>
      <c r="S3" s="4">
        <v>0</v>
      </c>
      <c r="T3" s="4">
        <v>7992.98</v>
      </c>
      <c r="U3" s="4">
        <v>935</v>
      </c>
      <c r="V3" s="3">
        <v>0</v>
      </c>
      <c r="W3" s="12">
        <f t="shared" si="0"/>
        <v>14673.85</v>
      </c>
    </row>
    <row r="4" ht="16.5" customHeight="1" spans="1:23">
      <c r="A4" s="5">
        <v>4368052</v>
      </c>
      <c r="B4" s="6" t="s">
        <v>27</v>
      </c>
      <c r="C4" s="6" t="s">
        <v>28</v>
      </c>
      <c r="D4" s="6">
        <v>156</v>
      </c>
      <c r="E4" s="6">
        <v>255</v>
      </c>
      <c r="F4" s="7">
        <v>5218.5</v>
      </c>
      <c r="G4" s="7">
        <v>9566.67</v>
      </c>
      <c r="H4" s="7">
        <v>4430.54</v>
      </c>
      <c r="I4" s="6">
        <v>0</v>
      </c>
      <c r="J4" s="7">
        <v>3625</v>
      </c>
      <c r="K4" s="6">
        <v>158.33</v>
      </c>
      <c r="L4" s="7">
        <v>22999.04</v>
      </c>
      <c r="M4" s="6">
        <v>919.96</v>
      </c>
      <c r="N4" s="7">
        <v>7039.75</v>
      </c>
      <c r="O4" s="7">
        <v>2166.47</v>
      </c>
      <c r="P4" s="6">
        <v>96.04</v>
      </c>
      <c r="Q4" s="9">
        <v>500</v>
      </c>
      <c r="R4" s="6">
        <v>0</v>
      </c>
      <c r="S4" s="9">
        <v>0</v>
      </c>
      <c r="T4" s="7">
        <v>9302.26</v>
      </c>
      <c r="U4" s="9">
        <v>935</v>
      </c>
      <c r="V4" s="6">
        <v>0</v>
      </c>
      <c r="W4" s="12">
        <f t="shared" si="0"/>
        <v>11341.82</v>
      </c>
    </row>
    <row r="5" ht="13.8" spans="1:23">
      <c r="A5" s="5">
        <v>1518892</v>
      </c>
      <c r="B5" s="6" t="s">
        <v>29</v>
      </c>
      <c r="C5" s="6" t="s">
        <v>24</v>
      </c>
      <c r="D5" s="6">
        <v>117</v>
      </c>
      <c r="E5" s="6">
        <v>176</v>
      </c>
      <c r="F5" s="7">
        <v>5460</v>
      </c>
      <c r="G5" s="7">
        <v>8836</v>
      </c>
      <c r="H5" s="7">
        <v>3314.01</v>
      </c>
      <c r="I5" s="6">
        <v>0</v>
      </c>
      <c r="J5" s="7">
        <v>1875</v>
      </c>
      <c r="K5" s="6">
        <v>308.33</v>
      </c>
      <c r="L5" s="7">
        <v>19793.34</v>
      </c>
      <c r="M5" s="6">
        <v>791.73</v>
      </c>
      <c r="N5" s="7">
        <v>5710.85</v>
      </c>
      <c r="O5" s="6">
        <v>332.36</v>
      </c>
      <c r="P5" s="6">
        <v>96.04</v>
      </c>
      <c r="Q5" s="13">
        <v>1250</v>
      </c>
      <c r="R5" s="6">
        <v>0</v>
      </c>
      <c r="S5" s="13">
        <v>0</v>
      </c>
      <c r="T5" s="7">
        <v>6139.25</v>
      </c>
      <c r="U5" s="13">
        <v>935</v>
      </c>
      <c r="V5" s="6">
        <v>0</v>
      </c>
      <c r="W5" s="12">
        <f t="shared" si="0"/>
        <v>10677.36</v>
      </c>
    </row>
    <row r="6" ht="15" customHeight="1" spans="1:23">
      <c r="A6" s="5">
        <v>4225142</v>
      </c>
      <c r="B6" s="6" t="s">
        <v>30</v>
      </c>
      <c r="C6" s="6" t="s">
        <v>31</v>
      </c>
      <c r="D6" s="6">
        <v>137</v>
      </c>
      <c r="E6" s="6">
        <v>184</v>
      </c>
      <c r="F6" s="7">
        <v>4913.7</v>
      </c>
      <c r="G6" s="7">
        <v>7205.4</v>
      </c>
      <c r="H6" s="7">
        <v>3723.3</v>
      </c>
      <c r="I6" s="6">
        <v>110</v>
      </c>
      <c r="J6" s="7">
        <v>1895.83</v>
      </c>
      <c r="K6" s="6">
        <v>183.33</v>
      </c>
      <c r="L6" s="7">
        <v>18031.57</v>
      </c>
      <c r="M6" s="6">
        <v>721.26</v>
      </c>
      <c r="N6" s="7">
        <v>6185.54</v>
      </c>
      <c r="O6" s="6">
        <v>436</v>
      </c>
      <c r="P6" s="6">
        <v>96.04</v>
      </c>
      <c r="Q6" s="13">
        <v>0</v>
      </c>
      <c r="R6" s="6">
        <v>0</v>
      </c>
      <c r="S6" s="13">
        <v>0</v>
      </c>
      <c r="T6" s="7">
        <v>6717.58</v>
      </c>
      <c r="U6" s="13">
        <v>0</v>
      </c>
      <c r="V6" s="6">
        <v>0</v>
      </c>
      <c r="W6" s="12">
        <f t="shared" si="0"/>
        <v>10592.73</v>
      </c>
    </row>
    <row r="7" ht="13.8" spans="1:23">
      <c r="A7" s="2">
        <v>3496865</v>
      </c>
      <c r="B7" s="3" t="s">
        <v>32</v>
      </c>
      <c r="C7" s="3" t="s">
        <v>24</v>
      </c>
      <c r="D7" s="3">
        <v>105</v>
      </c>
      <c r="E7" s="3">
        <v>161</v>
      </c>
      <c r="F7" s="4">
        <v>4941.3</v>
      </c>
      <c r="G7" s="4">
        <v>8150.27</v>
      </c>
      <c r="H7" s="4">
        <v>2852.85</v>
      </c>
      <c r="I7" s="3">
        <v>0</v>
      </c>
      <c r="J7" s="4">
        <v>1875</v>
      </c>
      <c r="K7" s="3">
        <v>283.33</v>
      </c>
      <c r="L7" s="4">
        <v>18102.75</v>
      </c>
      <c r="M7" s="3">
        <v>724.11</v>
      </c>
      <c r="N7" s="4">
        <v>6659.93</v>
      </c>
      <c r="O7" s="3">
        <v>346</v>
      </c>
      <c r="P7" s="3">
        <v>96.04</v>
      </c>
      <c r="Q7" s="4">
        <v>0</v>
      </c>
      <c r="R7" s="3">
        <v>0</v>
      </c>
      <c r="S7" s="4">
        <v>0</v>
      </c>
      <c r="T7" s="4">
        <v>7101.97</v>
      </c>
      <c r="U7" s="4">
        <v>0</v>
      </c>
      <c r="V7" s="3">
        <v>0</v>
      </c>
      <c r="W7" s="12">
        <f t="shared" si="0"/>
        <v>10276.67</v>
      </c>
    </row>
    <row r="8" ht="13.8" spans="1:23">
      <c r="A8" s="2">
        <v>1970320</v>
      </c>
      <c r="B8" s="3" t="s">
        <v>33</v>
      </c>
      <c r="C8" s="3" t="s">
        <v>34</v>
      </c>
      <c r="D8" s="3">
        <v>140</v>
      </c>
      <c r="E8" s="3">
        <v>200</v>
      </c>
      <c r="F8" s="4">
        <v>5174.4</v>
      </c>
      <c r="G8" s="4">
        <v>8255.52</v>
      </c>
      <c r="H8" s="4">
        <v>3896.66</v>
      </c>
      <c r="I8" s="3">
        <v>0</v>
      </c>
      <c r="J8" s="4">
        <v>4375</v>
      </c>
      <c r="K8" s="3">
        <v>95.83</v>
      </c>
      <c r="L8" s="4">
        <v>21797.41</v>
      </c>
      <c r="M8" s="3">
        <v>871.9</v>
      </c>
      <c r="N8" s="4">
        <v>9534.61</v>
      </c>
      <c r="O8" s="4">
        <v>1207.99</v>
      </c>
      <c r="P8" s="3">
        <v>96.04</v>
      </c>
      <c r="Q8" s="4">
        <v>0</v>
      </c>
      <c r="R8" s="3">
        <v>0</v>
      </c>
      <c r="S8" s="4">
        <v>0</v>
      </c>
      <c r="T8" s="4">
        <v>10838.64</v>
      </c>
      <c r="U8" s="4">
        <v>0</v>
      </c>
      <c r="V8" s="3">
        <v>0</v>
      </c>
      <c r="W8" s="12">
        <f t="shared" si="0"/>
        <v>10086.87</v>
      </c>
    </row>
    <row r="9" ht="13.8" spans="1:23">
      <c r="A9" s="5">
        <v>4273713</v>
      </c>
      <c r="B9" s="6" t="s">
        <v>35</v>
      </c>
      <c r="C9" s="6" t="s">
        <v>34</v>
      </c>
      <c r="D9" s="6">
        <v>124</v>
      </c>
      <c r="E9" s="6">
        <v>162</v>
      </c>
      <c r="F9" s="7">
        <v>4808.32</v>
      </c>
      <c r="G9" s="7">
        <v>7034.44</v>
      </c>
      <c r="H9" s="7">
        <v>3577.36</v>
      </c>
      <c r="I9" s="6">
        <v>0</v>
      </c>
      <c r="J9" s="7">
        <v>1875</v>
      </c>
      <c r="K9" s="6">
        <v>150</v>
      </c>
      <c r="L9" s="7">
        <v>17445.12</v>
      </c>
      <c r="M9" s="6">
        <v>697.8</v>
      </c>
      <c r="N9" s="7">
        <v>8892.48</v>
      </c>
      <c r="O9" s="7">
        <v>1087.05</v>
      </c>
      <c r="P9" s="6">
        <v>96.04</v>
      </c>
      <c r="Q9" s="9">
        <v>0</v>
      </c>
      <c r="R9" s="6">
        <v>0</v>
      </c>
      <c r="S9" s="9">
        <v>0</v>
      </c>
      <c r="T9" s="7">
        <v>10075.57</v>
      </c>
      <c r="U9" s="9">
        <v>0</v>
      </c>
      <c r="V9" s="7">
        <v>2600</v>
      </c>
      <c r="W9" s="12">
        <f t="shared" si="0"/>
        <v>9271.75</v>
      </c>
    </row>
    <row r="10" ht="13.8" spans="1:23">
      <c r="A10" s="5">
        <v>4310186</v>
      </c>
      <c r="B10" s="6" t="s">
        <v>36</v>
      </c>
      <c r="C10" s="6" t="s">
        <v>24</v>
      </c>
      <c r="D10" s="6">
        <v>83</v>
      </c>
      <c r="E10" s="6">
        <v>126</v>
      </c>
      <c r="F10" s="7">
        <v>3901.8</v>
      </c>
      <c r="G10" s="7">
        <v>6384.52</v>
      </c>
      <c r="H10" s="7">
        <v>2473.24</v>
      </c>
      <c r="I10" s="6">
        <v>0</v>
      </c>
      <c r="J10" s="6">
        <v>0</v>
      </c>
      <c r="K10" s="6">
        <v>258.33</v>
      </c>
      <c r="L10" s="7">
        <v>13017.89</v>
      </c>
      <c r="M10" s="6">
        <v>520.72</v>
      </c>
      <c r="N10" s="7">
        <v>3837.73</v>
      </c>
      <c r="O10" s="6">
        <v>0</v>
      </c>
      <c r="P10" s="6">
        <v>96.04</v>
      </c>
      <c r="Q10" s="13">
        <v>0</v>
      </c>
      <c r="R10" s="6">
        <v>0</v>
      </c>
      <c r="S10" s="13">
        <v>0</v>
      </c>
      <c r="T10" s="7">
        <v>3933.77</v>
      </c>
      <c r="U10" s="13">
        <v>0</v>
      </c>
      <c r="V10" s="6">
        <v>0</v>
      </c>
      <c r="W10" s="12">
        <f t="shared" si="0"/>
        <v>8563.4</v>
      </c>
    </row>
    <row r="11" ht="13.8" spans="1:23">
      <c r="A11" s="5">
        <v>2376446</v>
      </c>
      <c r="B11" s="6" t="s">
        <v>37</v>
      </c>
      <c r="C11" s="6" t="s">
        <v>24</v>
      </c>
      <c r="D11" s="6">
        <v>118</v>
      </c>
      <c r="E11" s="6">
        <v>138</v>
      </c>
      <c r="F11" s="7">
        <v>5346.6</v>
      </c>
      <c r="G11" s="7">
        <v>6698.23</v>
      </c>
      <c r="H11" s="7">
        <v>1252.44</v>
      </c>
      <c r="I11" s="6">
        <v>0</v>
      </c>
      <c r="J11" s="6">
        <v>0</v>
      </c>
      <c r="K11" s="6">
        <v>358.33</v>
      </c>
      <c r="L11" s="7">
        <v>13655.6</v>
      </c>
      <c r="M11" s="6">
        <v>546.22</v>
      </c>
      <c r="N11" s="7">
        <v>4842.81</v>
      </c>
      <c r="O11" s="6">
        <v>0</v>
      </c>
      <c r="P11" s="6">
        <v>96.04</v>
      </c>
      <c r="Q11" s="13">
        <v>0</v>
      </c>
      <c r="R11" s="6">
        <v>0</v>
      </c>
      <c r="S11" s="13">
        <v>0</v>
      </c>
      <c r="T11" s="7">
        <v>4938.85</v>
      </c>
      <c r="U11" s="13">
        <v>0</v>
      </c>
      <c r="V11" s="6">
        <v>200</v>
      </c>
      <c r="W11" s="12">
        <f t="shared" si="0"/>
        <v>8370.53</v>
      </c>
    </row>
    <row r="12" ht="13.8" spans="1:23">
      <c r="A12" s="5">
        <v>4349630</v>
      </c>
      <c r="B12" s="6" t="s">
        <v>38</v>
      </c>
      <c r="C12" s="6" t="s">
        <v>39</v>
      </c>
      <c r="D12" s="6">
        <v>96</v>
      </c>
      <c r="E12" s="6">
        <v>134</v>
      </c>
      <c r="F12" s="7">
        <v>3516.01</v>
      </c>
      <c r="G12" s="7">
        <v>5524.02</v>
      </c>
      <c r="H12" s="7">
        <v>3209.11</v>
      </c>
      <c r="I12" s="6">
        <v>0</v>
      </c>
      <c r="J12" s="6">
        <v>0</v>
      </c>
      <c r="K12" s="6">
        <v>183.33</v>
      </c>
      <c r="L12" s="7">
        <v>12432.47</v>
      </c>
      <c r="M12" s="6">
        <v>497.3</v>
      </c>
      <c r="N12" s="7">
        <v>3468.8</v>
      </c>
      <c r="O12" s="6">
        <v>0</v>
      </c>
      <c r="P12" s="6">
        <v>96.04</v>
      </c>
      <c r="Q12" s="13">
        <v>0</v>
      </c>
      <c r="R12" s="6">
        <v>0</v>
      </c>
      <c r="S12" s="13">
        <v>0</v>
      </c>
      <c r="T12" s="7">
        <v>3564.84</v>
      </c>
      <c r="U12" s="13">
        <v>0</v>
      </c>
      <c r="V12" s="6">
        <v>0</v>
      </c>
      <c r="W12" s="12">
        <f t="shared" si="0"/>
        <v>8370.33</v>
      </c>
    </row>
    <row r="13" ht="13.8" spans="1:23">
      <c r="A13" s="5">
        <v>4402420</v>
      </c>
      <c r="B13" s="6" t="s">
        <v>40</v>
      </c>
      <c r="C13" s="6" t="s">
        <v>39</v>
      </c>
      <c r="D13" s="6">
        <v>115</v>
      </c>
      <c r="E13" s="6">
        <v>160</v>
      </c>
      <c r="F13" s="7">
        <v>4197.7</v>
      </c>
      <c r="G13" s="7">
        <v>6557.1</v>
      </c>
      <c r="H13" s="7">
        <v>3722.72</v>
      </c>
      <c r="I13" s="6">
        <v>0</v>
      </c>
      <c r="J13" s="7">
        <v>1408.33</v>
      </c>
      <c r="K13" s="6">
        <v>108.33</v>
      </c>
      <c r="L13" s="7">
        <v>15994.19</v>
      </c>
      <c r="M13" s="6">
        <v>639.77</v>
      </c>
      <c r="N13" s="7">
        <v>6233.4</v>
      </c>
      <c r="O13" s="7">
        <v>2674.79</v>
      </c>
      <c r="P13" s="6">
        <v>96.04</v>
      </c>
      <c r="Q13" s="13">
        <v>0</v>
      </c>
      <c r="R13" s="6">
        <v>0</v>
      </c>
      <c r="S13" s="13">
        <v>0</v>
      </c>
      <c r="T13" s="7">
        <v>9004.23</v>
      </c>
      <c r="U13" s="13">
        <v>0</v>
      </c>
      <c r="V13" s="7">
        <v>0</v>
      </c>
      <c r="W13" s="12">
        <f t="shared" si="0"/>
        <v>6350.19</v>
      </c>
    </row>
    <row r="14" ht="13.8" spans="1:23">
      <c r="A14" s="5">
        <v>2376404</v>
      </c>
      <c r="B14" s="6" t="s">
        <v>41</v>
      </c>
      <c r="C14" s="6" t="s">
        <v>28</v>
      </c>
      <c r="D14" s="6">
        <v>154</v>
      </c>
      <c r="E14" s="6">
        <v>220</v>
      </c>
      <c r="F14" s="7">
        <v>5086.5</v>
      </c>
      <c r="G14" s="7">
        <v>8134.38</v>
      </c>
      <c r="H14" s="7">
        <v>3752.32</v>
      </c>
      <c r="I14" s="6">
        <v>0</v>
      </c>
      <c r="J14" s="7">
        <v>3183.33</v>
      </c>
      <c r="K14" s="6">
        <v>108.33</v>
      </c>
      <c r="L14" s="7">
        <v>20264.87</v>
      </c>
      <c r="M14" s="6">
        <v>810.59</v>
      </c>
      <c r="N14" s="7">
        <v>10480.65</v>
      </c>
      <c r="O14" s="7">
        <v>3106.85</v>
      </c>
      <c r="P14" s="6">
        <v>96.04</v>
      </c>
      <c r="Q14" s="9">
        <v>0</v>
      </c>
      <c r="R14" s="6">
        <v>0</v>
      </c>
      <c r="S14" s="9">
        <v>0</v>
      </c>
      <c r="T14" s="7">
        <v>13683.54</v>
      </c>
      <c r="U14" s="9">
        <v>0</v>
      </c>
      <c r="V14" s="7">
        <v>0</v>
      </c>
      <c r="W14" s="12">
        <f t="shared" si="0"/>
        <v>5770.74</v>
      </c>
    </row>
    <row r="15" ht="13.8" spans="1:23">
      <c r="A15" s="5">
        <v>2407688</v>
      </c>
      <c r="B15" s="6" t="s">
        <v>42</v>
      </c>
      <c r="C15" s="6" t="s">
        <v>28</v>
      </c>
      <c r="D15" s="6">
        <v>126</v>
      </c>
      <c r="E15" s="6">
        <v>188</v>
      </c>
      <c r="F15" s="7">
        <v>4114.5</v>
      </c>
      <c r="G15" s="7">
        <v>6911.49</v>
      </c>
      <c r="H15" s="7">
        <v>2644.38</v>
      </c>
      <c r="I15" s="6">
        <v>0</v>
      </c>
      <c r="J15" s="7">
        <v>1325</v>
      </c>
      <c r="K15" s="6">
        <v>113.88</v>
      </c>
      <c r="L15" s="7">
        <v>15109.25</v>
      </c>
      <c r="M15" s="6">
        <v>604.37</v>
      </c>
      <c r="N15" s="7">
        <v>7114.43</v>
      </c>
      <c r="O15" s="6">
        <v>442.99</v>
      </c>
      <c r="P15" s="6">
        <v>96.04</v>
      </c>
      <c r="Q15" s="13">
        <v>500</v>
      </c>
      <c r="R15" s="6">
        <v>0</v>
      </c>
      <c r="S15" s="13">
        <v>0</v>
      </c>
      <c r="T15" s="7">
        <v>7653.46</v>
      </c>
      <c r="U15" s="13">
        <v>935</v>
      </c>
      <c r="V15" s="6">
        <v>300</v>
      </c>
      <c r="W15" s="12">
        <f t="shared" si="0"/>
        <v>5716.42</v>
      </c>
    </row>
    <row r="16" ht="13.8" spans="1:23">
      <c r="A16" s="5">
        <v>2265788</v>
      </c>
      <c r="B16" s="6" t="s">
        <v>43</v>
      </c>
      <c r="C16" s="6" t="s">
        <v>44</v>
      </c>
      <c r="D16" s="6">
        <v>141</v>
      </c>
      <c r="E16" s="6">
        <v>169</v>
      </c>
      <c r="F16" s="7">
        <v>5500</v>
      </c>
      <c r="G16" s="7">
        <v>7590.77</v>
      </c>
      <c r="H16" s="7">
        <v>3323.73</v>
      </c>
      <c r="I16" s="6">
        <v>0</v>
      </c>
      <c r="J16" s="7">
        <v>1875</v>
      </c>
      <c r="K16" s="6">
        <v>75</v>
      </c>
      <c r="L16" s="7">
        <v>18364.5</v>
      </c>
      <c r="M16" s="6">
        <v>734.58</v>
      </c>
      <c r="N16" s="7">
        <v>11106.6</v>
      </c>
      <c r="O16" s="7">
        <v>1723.67</v>
      </c>
      <c r="P16" s="6">
        <v>96.04</v>
      </c>
      <c r="Q16" s="13">
        <v>0</v>
      </c>
      <c r="R16" s="6">
        <v>0</v>
      </c>
      <c r="S16" s="13">
        <v>0</v>
      </c>
      <c r="T16" s="7">
        <v>12926.31</v>
      </c>
      <c r="U16" s="13">
        <v>0</v>
      </c>
      <c r="V16" s="7">
        <v>1000</v>
      </c>
      <c r="W16" s="12">
        <f t="shared" si="0"/>
        <v>5703.61</v>
      </c>
    </row>
    <row r="17" ht="13.8" spans="1:23">
      <c r="A17" s="5">
        <v>4355110</v>
      </c>
      <c r="B17" s="6" t="s">
        <v>45</v>
      </c>
      <c r="C17" s="6" t="s">
        <v>46</v>
      </c>
      <c r="D17" s="6">
        <v>147</v>
      </c>
      <c r="E17" s="6">
        <v>202</v>
      </c>
      <c r="F17" s="7">
        <v>5110.35</v>
      </c>
      <c r="G17" s="7">
        <v>8094.6</v>
      </c>
      <c r="H17" s="7">
        <v>5337.27</v>
      </c>
      <c r="I17" s="7">
        <v>0</v>
      </c>
      <c r="J17" s="7">
        <v>2570.83</v>
      </c>
      <c r="K17" s="6">
        <v>166.67</v>
      </c>
      <c r="L17" s="7">
        <v>21279.72</v>
      </c>
      <c r="M17" s="6">
        <v>851.19</v>
      </c>
      <c r="N17" s="7">
        <v>11238.66</v>
      </c>
      <c r="O17" s="7">
        <v>2811.97</v>
      </c>
      <c r="P17" s="6">
        <v>96.04</v>
      </c>
      <c r="Q17" s="13">
        <v>0</v>
      </c>
      <c r="R17" s="6">
        <v>675</v>
      </c>
      <c r="S17" s="13">
        <v>0</v>
      </c>
      <c r="T17" s="7">
        <v>14821.67</v>
      </c>
      <c r="U17" s="13">
        <v>0</v>
      </c>
      <c r="V17" s="7">
        <v>0</v>
      </c>
      <c r="W17" s="12">
        <f t="shared" si="0"/>
        <v>5606.86</v>
      </c>
    </row>
    <row r="18" ht="13.8" spans="1:23">
      <c r="A18" s="5">
        <v>4285084</v>
      </c>
      <c r="B18" s="6" t="s">
        <v>47</v>
      </c>
      <c r="C18" s="6" t="s">
        <v>31</v>
      </c>
      <c r="D18" s="6">
        <v>82</v>
      </c>
      <c r="E18" s="6">
        <v>125</v>
      </c>
      <c r="F18" s="7">
        <v>3034.35</v>
      </c>
      <c r="G18" s="7">
        <v>5041.8</v>
      </c>
      <c r="H18" s="7">
        <v>3027.65</v>
      </c>
      <c r="I18" s="6">
        <v>44</v>
      </c>
      <c r="J18" s="6">
        <v>0</v>
      </c>
      <c r="K18" s="6">
        <v>208.33</v>
      </c>
      <c r="L18" s="7">
        <v>11356.13</v>
      </c>
      <c r="M18" s="6">
        <v>454.25</v>
      </c>
      <c r="N18" s="7">
        <v>6417.13</v>
      </c>
      <c r="O18" s="7">
        <v>0</v>
      </c>
      <c r="P18" s="6">
        <v>96.04</v>
      </c>
      <c r="Q18" s="13">
        <v>0</v>
      </c>
      <c r="R18" s="6">
        <v>0</v>
      </c>
      <c r="S18" s="13">
        <v>0</v>
      </c>
      <c r="T18" s="7">
        <v>6513.17</v>
      </c>
      <c r="U18" s="13">
        <v>0</v>
      </c>
      <c r="V18" s="7">
        <v>1000</v>
      </c>
      <c r="W18" s="12">
        <f t="shared" si="0"/>
        <v>5388.71</v>
      </c>
    </row>
    <row r="19" ht="13.8" spans="1:23">
      <c r="A19" s="5">
        <v>4330230</v>
      </c>
      <c r="B19" s="6" t="s">
        <v>48</v>
      </c>
      <c r="C19" s="6" t="s">
        <v>24</v>
      </c>
      <c r="D19" s="6">
        <v>83</v>
      </c>
      <c r="E19" s="6">
        <v>121</v>
      </c>
      <c r="F19" s="7">
        <v>3786.3</v>
      </c>
      <c r="G19" s="7">
        <v>5949.67</v>
      </c>
      <c r="H19" s="7">
        <v>2259.44</v>
      </c>
      <c r="I19" s="6">
        <v>0</v>
      </c>
      <c r="J19" s="6">
        <v>0</v>
      </c>
      <c r="K19" s="6">
        <v>250</v>
      </c>
      <c r="L19" s="7">
        <v>12245.41</v>
      </c>
      <c r="M19" s="6">
        <v>489.82</v>
      </c>
      <c r="N19" s="7">
        <v>5090.42</v>
      </c>
      <c r="O19" s="6">
        <v>0</v>
      </c>
      <c r="P19" s="6">
        <v>96.04</v>
      </c>
      <c r="Q19" s="9">
        <v>500</v>
      </c>
      <c r="R19" s="6">
        <v>0</v>
      </c>
      <c r="S19" s="9">
        <v>0</v>
      </c>
      <c r="T19" s="7">
        <v>5186.46</v>
      </c>
      <c r="U19" s="9">
        <v>935</v>
      </c>
      <c r="V19" s="6">
        <v>0</v>
      </c>
      <c r="W19" s="12">
        <f t="shared" si="0"/>
        <v>5134.13</v>
      </c>
    </row>
    <row r="20" ht="13.8" spans="1:23">
      <c r="A20" s="5">
        <v>4266143</v>
      </c>
      <c r="B20" s="6" t="s">
        <v>49</v>
      </c>
      <c r="C20" s="6" t="s">
        <v>46</v>
      </c>
      <c r="D20" s="6">
        <v>168</v>
      </c>
      <c r="E20" s="6">
        <v>212</v>
      </c>
      <c r="F20" s="7">
        <v>5766.61</v>
      </c>
      <c r="G20" s="7">
        <v>8350.2</v>
      </c>
      <c r="H20" s="7">
        <v>6047.3</v>
      </c>
      <c r="I20" s="7">
        <v>0</v>
      </c>
      <c r="J20" s="7">
        <v>2570.83</v>
      </c>
      <c r="K20" s="6">
        <v>66.67</v>
      </c>
      <c r="L20" s="7">
        <v>22801.61</v>
      </c>
      <c r="M20" s="6">
        <v>912.06</v>
      </c>
      <c r="N20" s="7">
        <v>14249.71</v>
      </c>
      <c r="O20" s="7">
        <v>2568.76</v>
      </c>
      <c r="P20" s="6">
        <v>96.04</v>
      </c>
      <c r="Q20" s="13">
        <v>0</v>
      </c>
      <c r="R20" s="6">
        <v>0</v>
      </c>
      <c r="S20" s="13">
        <v>0</v>
      </c>
      <c r="T20" s="7">
        <v>16914.51</v>
      </c>
      <c r="U20" s="13">
        <v>0</v>
      </c>
      <c r="V20" s="7">
        <v>0</v>
      </c>
      <c r="W20" s="12">
        <f t="shared" si="0"/>
        <v>4975.04</v>
      </c>
    </row>
    <row r="21" ht="13.8" spans="1:23">
      <c r="A21" s="5">
        <v>4414868</v>
      </c>
      <c r="B21" s="6" t="s">
        <v>50</v>
      </c>
      <c r="C21" s="6" t="s">
        <v>51</v>
      </c>
      <c r="D21" s="6">
        <v>77</v>
      </c>
      <c r="E21" s="6">
        <v>112</v>
      </c>
      <c r="F21" s="7">
        <v>3176.8</v>
      </c>
      <c r="G21" s="7">
        <v>4928.97</v>
      </c>
      <c r="H21" s="7">
        <v>1942.15</v>
      </c>
      <c r="I21" s="6">
        <v>0</v>
      </c>
      <c r="J21" s="6">
        <v>0</v>
      </c>
      <c r="K21" s="6">
        <v>225</v>
      </c>
      <c r="L21" s="7">
        <v>10272.92</v>
      </c>
      <c r="M21" s="6">
        <v>410.92</v>
      </c>
      <c r="N21" s="7">
        <v>3511.17</v>
      </c>
      <c r="O21" s="6">
        <v>385.99</v>
      </c>
      <c r="P21" s="6">
        <v>96.04</v>
      </c>
      <c r="Q21" s="13">
        <v>1250</v>
      </c>
      <c r="R21" s="6">
        <v>0</v>
      </c>
      <c r="S21" s="13">
        <v>0</v>
      </c>
      <c r="T21" s="7">
        <v>3993.2</v>
      </c>
      <c r="U21" s="13">
        <v>935</v>
      </c>
      <c r="V21" s="7">
        <v>1100</v>
      </c>
      <c r="W21" s="12">
        <f t="shared" si="0"/>
        <v>4783.8</v>
      </c>
    </row>
    <row r="22" ht="13.8" spans="1:23">
      <c r="A22" s="5">
        <v>3997136</v>
      </c>
      <c r="B22" s="6" t="s">
        <v>52</v>
      </c>
      <c r="C22" s="6" t="s">
        <v>53</v>
      </c>
      <c r="D22" s="6">
        <v>51</v>
      </c>
      <c r="E22" s="6">
        <v>64</v>
      </c>
      <c r="F22" s="7">
        <v>1615.68</v>
      </c>
      <c r="G22" s="7">
        <v>2201.13</v>
      </c>
      <c r="H22" s="7">
        <v>1652.04</v>
      </c>
      <c r="I22" s="6">
        <v>0</v>
      </c>
      <c r="J22" s="6">
        <v>0</v>
      </c>
      <c r="K22" s="6">
        <v>0</v>
      </c>
      <c r="L22" s="7">
        <v>5468.85</v>
      </c>
      <c r="M22" s="6">
        <v>218.75</v>
      </c>
      <c r="N22" s="7">
        <v>535.99</v>
      </c>
      <c r="O22" s="7">
        <v>0</v>
      </c>
      <c r="P22" s="6">
        <v>96.04</v>
      </c>
      <c r="Q22" s="9">
        <v>0</v>
      </c>
      <c r="R22" s="6">
        <v>0</v>
      </c>
      <c r="S22" s="9">
        <v>0</v>
      </c>
      <c r="T22" s="6">
        <v>632.03</v>
      </c>
      <c r="U22" s="9">
        <v>0</v>
      </c>
      <c r="V22" s="7">
        <v>0</v>
      </c>
      <c r="W22" s="12">
        <f t="shared" si="0"/>
        <v>4618.07</v>
      </c>
    </row>
    <row r="23" ht="13.8" spans="1:23">
      <c r="A23" s="5">
        <v>4351039</v>
      </c>
      <c r="B23" s="6" t="s">
        <v>54</v>
      </c>
      <c r="C23" s="6" t="s">
        <v>24</v>
      </c>
      <c r="D23" s="6">
        <v>60</v>
      </c>
      <c r="E23" s="6">
        <v>100</v>
      </c>
      <c r="F23" s="7">
        <v>2900.1</v>
      </c>
      <c r="G23" s="7">
        <v>5183.37</v>
      </c>
      <c r="H23" s="7">
        <v>2040.97</v>
      </c>
      <c r="I23" s="7">
        <v>0</v>
      </c>
      <c r="J23" s="6">
        <v>0</v>
      </c>
      <c r="K23" s="6">
        <v>141.67</v>
      </c>
      <c r="L23" s="7">
        <v>10266.11</v>
      </c>
      <c r="M23" s="6">
        <v>410.64</v>
      </c>
      <c r="N23" s="7">
        <v>4608.1</v>
      </c>
      <c r="O23" s="7">
        <v>714.12</v>
      </c>
      <c r="P23" s="6">
        <v>96.04</v>
      </c>
      <c r="Q23" s="13">
        <v>0</v>
      </c>
      <c r="R23" s="6">
        <v>0</v>
      </c>
      <c r="S23" s="13">
        <v>0</v>
      </c>
      <c r="T23" s="7">
        <v>5418.26</v>
      </c>
      <c r="U23" s="13">
        <v>0</v>
      </c>
      <c r="V23" s="7">
        <v>0</v>
      </c>
      <c r="W23" s="12">
        <f t="shared" si="0"/>
        <v>4437.21</v>
      </c>
    </row>
    <row r="24" ht="13.8" spans="1:23">
      <c r="A24" s="5">
        <v>4275296</v>
      </c>
      <c r="B24" s="6" t="s">
        <v>55</v>
      </c>
      <c r="C24" s="6" t="s">
        <v>46</v>
      </c>
      <c r="D24" s="6">
        <v>109</v>
      </c>
      <c r="E24" s="6">
        <v>137</v>
      </c>
      <c r="F24" s="7">
        <v>3780.56</v>
      </c>
      <c r="G24" s="7">
        <v>5445</v>
      </c>
      <c r="H24" s="7">
        <v>4257.09</v>
      </c>
      <c r="I24" s="6">
        <v>0</v>
      </c>
      <c r="J24" s="7">
        <v>0</v>
      </c>
      <c r="K24" s="6">
        <v>83.33</v>
      </c>
      <c r="L24" s="7">
        <v>13565.98</v>
      </c>
      <c r="M24" s="6">
        <v>542.64</v>
      </c>
      <c r="N24" s="7">
        <v>5327.07</v>
      </c>
      <c r="O24" s="7">
        <v>3206.56</v>
      </c>
      <c r="P24" s="6">
        <v>96.04</v>
      </c>
      <c r="Q24" s="13">
        <v>0</v>
      </c>
      <c r="R24" s="6">
        <v>0</v>
      </c>
      <c r="S24" s="13">
        <v>0</v>
      </c>
      <c r="T24" s="7">
        <v>8629.67</v>
      </c>
      <c r="U24" s="13">
        <v>0</v>
      </c>
      <c r="V24" s="7">
        <v>0</v>
      </c>
      <c r="W24" s="12">
        <f t="shared" si="0"/>
        <v>4393.67</v>
      </c>
    </row>
    <row r="25" ht="13.8" spans="1:23">
      <c r="A25" s="5">
        <v>4037881</v>
      </c>
      <c r="B25" s="6" t="s">
        <v>56</v>
      </c>
      <c r="C25" s="6" t="s">
        <v>57</v>
      </c>
      <c r="D25" s="6">
        <v>80</v>
      </c>
      <c r="E25" s="6">
        <v>117</v>
      </c>
      <c r="F25" s="7">
        <v>3016.8</v>
      </c>
      <c r="G25" s="7">
        <v>5021.7</v>
      </c>
      <c r="H25" s="7">
        <v>1820.74</v>
      </c>
      <c r="I25" s="6">
        <v>0</v>
      </c>
      <c r="J25" s="7">
        <v>0</v>
      </c>
      <c r="K25" s="6">
        <v>266.67</v>
      </c>
      <c r="L25" s="7">
        <v>10125.91</v>
      </c>
      <c r="M25" s="6">
        <v>405.04</v>
      </c>
      <c r="N25" s="7">
        <v>3858.1</v>
      </c>
      <c r="O25" s="7">
        <v>1498.86</v>
      </c>
      <c r="P25" s="6">
        <v>0</v>
      </c>
      <c r="Q25" s="13">
        <v>0</v>
      </c>
      <c r="R25" s="6">
        <v>0</v>
      </c>
      <c r="S25" s="13">
        <v>0</v>
      </c>
      <c r="T25" s="7">
        <v>5356.96</v>
      </c>
      <c r="U25" s="13">
        <v>0</v>
      </c>
      <c r="V25" s="7">
        <v>0</v>
      </c>
      <c r="W25" s="12">
        <f t="shared" si="0"/>
        <v>4363.91</v>
      </c>
    </row>
    <row r="26" ht="13.8" spans="1:23">
      <c r="A26" s="5">
        <v>2486502</v>
      </c>
      <c r="B26" s="6" t="s">
        <v>58</v>
      </c>
      <c r="C26" s="6" t="s">
        <v>28</v>
      </c>
      <c r="D26" s="6">
        <v>103</v>
      </c>
      <c r="E26" s="6">
        <v>170</v>
      </c>
      <c r="F26" s="7">
        <v>3420</v>
      </c>
      <c r="G26" s="7">
        <v>6285.02</v>
      </c>
      <c r="H26" s="7">
        <v>2723.85</v>
      </c>
      <c r="I26" s="7">
        <v>0</v>
      </c>
      <c r="J26" s="7">
        <v>937.5</v>
      </c>
      <c r="K26" s="6">
        <v>50</v>
      </c>
      <c r="L26" s="7">
        <v>13416.37</v>
      </c>
      <c r="M26" s="6">
        <v>536.65</v>
      </c>
      <c r="N26" s="7">
        <v>8184.16</v>
      </c>
      <c r="O26" s="7">
        <v>311</v>
      </c>
      <c r="P26" s="6">
        <v>96.04</v>
      </c>
      <c r="Q26" s="9">
        <v>0</v>
      </c>
      <c r="R26" s="6">
        <v>0</v>
      </c>
      <c r="S26" s="9">
        <v>0</v>
      </c>
      <c r="T26" s="7">
        <v>8591.2</v>
      </c>
      <c r="U26" s="9">
        <v>0</v>
      </c>
      <c r="V26" s="7">
        <v>0</v>
      </c>
      <c r="W26" s="12">
        <f t="shared" si="0"/>
        <v>4288.52</v>
      </c>
    </row>
    <row r="27" ht="13.8" spans="1:23">
      <c r="A27" s="5">
        <v>4316570</v>
      </c>
      <c r="B27" s="6" t="s">
        <v>59</v>
      </c>
      <c r="C27" s="6" t="s">
        <v>51</v>
      </c>
      <c r="D27" s="6">
        <v>64</v>
      </c>
      <c r="E27" s="6">
        <v>90</v>
      </c>
      <c r="F27" s="7">
        <v>2730.3</v>
      </c>
      <c r="G27" s="7">
        <v>4121.05</v>
      </c>
      <c r="H27" s="7">
        <v>1831.26</v>
      </c>
      <c r="I27" s="7">
        <v>0</v>
      </c>
      <c r="J27" s="7">
        <v>0</v>
      </c>
      <c r="K27" s="6">
        <v>179.17</v>
      </c>
      <c r="L27" s="7">
        <v>8861.78</v>
      </c>
      <c r="M27" s="6">
        <v>354.47</v>
      </c>
      <c r="N27" s="7">
        <v>2588.6</v>
      </c>
      <c r="O27" s="7">
        <v>365.99</v>
      </c>
      <c r="P27" s="6">
        <v>0</v>
      </c>
      <c r="Q27" s="13">
        <v>500</v>
      </c>
      <c r="R27" s="6">
        <v>0</v>
      </c>
      <c r="S27" s="13">
        <v>0</v>
      </c>
      <c r="T27" s="7">
        <v>2954.59</v>
      </c>
      <c r="U27" s="13">
        <v>935</v>
      </c>
      <c r="V27" s="7">
        <v>0</v>
      </c>
      <c r="W27" s="12">
        <f t="shared" si="0"/>
        <v>4117.72</v>
      </c>
    </row>
    <row r="28" ht="13.8" spans="1:23">
      <c r="A28" s="5">
        <v>4428593</v>
      </c>
      <c r="B28" s="6" t="s">
        <v>60</v>
      </c>
      <c r="C28" s="6" t="s">
        <v>61</v>
      </c>
      <c r="D28" s="6">
        <v>61</v>
      </c>
      <c r="E28" s="6">
        <v>86</v>
      </c>
      <c r="F28" s="7">
        <v>2214.43</v>
      </c>
      <c r="G28" s="7">
        <v>3481.7</v>
      </c>
      <c r="H28" s="7">
        <v>2437.23</v>
      </c>
      <c r="I28" s="6">
        <v>0</v>
      </c>
      <c r="J28" s="6">
        <v>0</v>
      </c>
      <c r="K28" s="6">
        <v>108.33</v>
      </c>
      <c r="L28" s="7">
        <v>8241.69</v>
      </c>
      <c r="M28" s="6">
        <v>329.67</v>
      </c>
      <c r="N28" s="7">
        <v>3728.37</v>
      </c>
      <c r="O28" s="7">
        <v>0</v>
      </c>
      <c r="P28" s="6">
        <v>96.04</v>
      </c>
      <c r="Q28" s="9">
        <v>0</v>
      </c>
      <c r="R28" s="6">
        <v>0</v>
      </c>
      <c r="S28" s="9">
        <v>0</v>
      </c>
      <c r="T28" s="7">
        <v>3824.41</v>
      </c>
      <c r="U28" s="9">
        <v>0</v>
      </c>
      <c r="V28" s="7">
        <v>0</v>
      </c>
      <c r="W28" s="12">
        <f t="shared" si="0"/>
        <v>4087.61</v>
      </c>
    </row>
    <row r="29" ht="13.8" spans="1:23">
      <c r="A29" s="5">
        <v>4324716</v>
      </c>
      <c r="B29" s="6" t="s">
        <v>62</v>
      </c>
      <c r="C29" s="6" t="s">
        <v>63</v>
      </c>
      <c r="D29" s="6">
        <v>135</v>
      </c>
      <c r="E29" s="6">
        <v>202</v>
      </c>
      <c r="F29" s="7">
        <v>5468.4</v>
      </c>
      <c r="G29" s="7">
        <v>9180</v>
      </c>
      <c r="H29" s="7">
        <v>4357.5</v>
      </c>
      <c r="I29" s="6">
        <v>0</v>
      </c>
      <c r="J29" s="7">
        <v>4375</v>
      </c>
      <c r="K29" s="6">
        <v>125</v>
      </c>
      <c r="L29" s="7">
        <v>23505.9</v>
      </c>
      <c r="M29" s="6">
        <v>940.24</v>
      </c>
      <c r="N29" s="7">
        <v>9701.91</v>
      </c>
      <c r="O29" s="7">
        <v>8950.16</v>
      </c>
      <c r="P29" s="6">
        <v>96.04</v>
      </c>
      <c r="Q29" s="13">
        <v>0</v>
      </c>
      <c r="R29" s="6">
        <v>0</v>
      </c>
      <c r="S29" s="13">
        <v>0</v>
      </c>
      <c r="T29" s="7">
        <v>18748.11</v>
      </c>
      <c r="U29" s="13">
        <v>0</v>
      </c>
      <c r="V29" s="6">
        <v>0</v>
      </c>
      <c r="W29" s="12">
        <f t="shared" si="0"/>
        <v>3817.55</v>
      </c>
    </row>
    <row r="30" ht="13.8" spans="1:23">
      <c r="A30" s="5">
        <v>4295037</v>
      </c>
      <c r="B30" s="6" t="s">
        <v>64</v>
      </c>
      <c r="C30" s="6" t="s">
        <v>65</v>
      </c>
      <c r="D30" s="6">
        <v>63</v>
      </c>
      <c r="E30" s="6">
        <v>86</v>
      </c>
      <c r="F30" s="7">
        <v>2312.38</v>
      </c>
      <c r="G30" s="7">
        <v>4049.13</v>
      </c>
      <c r="H30" s="7">
        <v>1893.77</v>
      </c>
      <c r="I30" s="7">
        <v>0</v>
      </c>
      <c r="J30" s="7">
        <v>0</v>
      </c>
      <c r="K30" s="6">
        <v>154.17</v>
      </c>
      <c r="L30" s="7">
        <v>8409.45</v>
      </c>
      <c r="M30" s="6">
        <v>336.38</v>
      </c>
      <c r="N30" s="7">
        <v>4318.38</v>
      </c>
      <c r="O30" s="7">
        <v>0</v>
      </c>
      <c r="P30" s="6">
        <v>96.04</v>
      </c>
      <c r="Q30" s="9">
        <v>0</v>
      </c>
      <c r="R30" s="6">
        <v>0</v>
      </c>
      <c r="S30" s="9">
        <v>0</v>
      </c>
      <c r="T30" s="7">
        <v>4414.42</v>
      </c>
      <c r="U30" s="9">
        <v>0</v>
      </c>
      <c r="V30" s="7">
        <v>0</v>
      </c>
      <c r="W30" s="12">
        <f t="shared" si="0"/>
        <v>3658.65</v>
      </c>
    </row>
    <row r="31" ht="13.8" spans="1:23">
      <c r="A31" s="2">
        <v>4414955</v>
      </c>
      <c r="B31" s="3" t="s">
        <v>66</v>
      </c>
      <c r="C31" s="3" t="s">
        <v>63</v>
      </c>
      <c r="D31" s="3">
        <v>25</v>
      </c>
      <c r="E31" s="3">
        <v>37</v>
      </c>
      <c r="F31" s="4">
        <v>1051.2</v>
      </c>
      <c r="G31" s="4">
        <v>1760</v>
      </c>
      <c r="H31" s="4">
        <v>827.36</v>
      </c>
      <c r="I31" s="4">
        <v>0</v>
      </c>
      <c r="J31" s="3">
        <v>0</v>
      </c>
      <c r="K31" s="3">
        <v>16.67</v>
      </c>
      <c r="L31" s="4">
        <v>3655.23</v>
      </c>
      <c r="M31" s="3">
        <v>146.21</v>
      </c>
      <c r="N31" s="4">
        <v>6332.84</v>
      </c>
      <c r="O31" s="3">
        <v>295</v>
      </c>
      <c r="P31" s="3">
        <v>0</v>
      </c>
      <c r="Q31" s="3">
        <v>0</v>
      </c>
      <c r="R31" s="3">
        <v>0</v>
      </c>
      <c r="S31" s="3">
        <v>0</v>
      </c>
      <c r="T31" s="4">
        <v>6627.84</v>
      </c>
      <c r="U31" s="3">
        <v>0</v>
      </c>
      <c r="V31" s="4">
        <v>6600</v>
      </c>
      <c r="W31" s="12">
        <f t="shared" si="0"/>
        <v>3481.18</v>
      </c>
    </row>
    <row r="32" ht="13.8" spans="1:23">
      <c r="A32" s="5">
        <v>4431419</v>
      </c>
      <c r="B32" s="6" t="s">
        <v>67</v>
      </c>
      <c r="C32" s="6" t="s">
        <v>63</v>
      </c>
      <c r="D32" s="6">
        <v>46</v>
      </c>
      <c r="E32" s="6">
        <v>66</v>
      </c>
      <c r="F32" s="7">
        <v>1816.2</v>
      </c>
      <c r="G32" s="7">
        <v>2896</v>
      </c>
      <c r="H32" s="7">
        <v>1901.69</v>
      </c>
      <c r="I32" s="6">
        <v>0</v>
      </c>
      <c r="J32" s="7">
        <v>0</v>
      </c>
      <c r="K32" s="6">
        <v>16.67</v>
      </c>
      <c r="L32" s="7">
        <v>6630.56</v>
      </c>
      <c r="M32" s="6">
        <v>265.22</v>
      </c>
      <c r="N32" s="7">
        <v>2958.92</v>
      </c>
      <c r="O32" s="6">
        <v>0</v>
      </c>
      <c r="P32" s="6">
        <v>0</v>
      </c>
      <c r="Q32" s="9">
        <v>0</v>
      </c>
      <c r="R32" s="6">
        <v>0</v>
      </c>
      <c r="S32" s="9">
        <v>0</v>
      </c>
      <c r="T32" s="7">
        <v>2958.92</v>
      </c>
      <c r="U32" s="9">
        <v>0</v>
      </c>
      <c r="V32" s="6">
        <v>0</v>
      </c>
      <c r="W32" s="12">
        <f t="shared" si="0"/>
        <v>3406.42</v>
      </c>
    </row>
    <row r="33" ht="13.8" spans="1:23">
      <c r="A33" s="5">
        <v>4231173</v>
      </c>
      <c r="B33" s="6" t="s">
        <v>68</v>
      </c>
      <c r="C33" s="6" t="s">
        <v>69</v>
      </c>
      <c r="D33" s="6">
        <v>109</v>
      </c>
      <c r="E33" s="6">
        <v>149</v>
      </c>
      <c r="F33" s="7">
        <v>4229.75</v>
      </c>
      <c r="G33" s="7">
        <v>7140.15</v>
      </c>
      <c r="H33" s="7">
        <v>2985.06</v>
      </c>
      <c r="I33" s="7">
        <v>0</v>
      </c>
      <c r="J33" s="7">
        <v>0</v>
      </c>
      <c r="K33" s="6">
        <v>50</v>
      </c>
      <c r="L33" s="7">
        <v>14404.96</v>
      </c>
      <c r="M33" s="6">
        <v>576.2</v>
      </c>
      <c r="N33" s="7">
        <v>10091</v>
      </c>
      <c r="O33" s="7">
        <v>375.99</v>
      </c>
      <c r="P33" s="6">
        <v>96.04</v>
      </c>
      <c r="Q33" s="9">
        <v>0</v>
      </c>
      <c r="R33" s="6">
        <v>0</v>
      </c>
      <c r="S33" s="9">
        <v>0</v>
      </c>
      <c r="T33" s="7">
        <v>10563.03</v>
      </c>
      <c r="U33" s="9">
        <v>0</v>
      </c>
      <c r="V33" s="7">
        <v>0</v>
      </c>
      <c r="W33" s="12">
        <f t="shared" si="0"/>
        <v>3265.73</v>
      </c>
    </row>
    <row r="34" ht="13.8" spans="1:23">
      <c r="A34" s="5">
        <v>4349620</v>
      </c>
      <c r="B34" s="6" t="s">
        <v>70</v>
      </c>
      <c r="C34" s="6" t="s">
        <v>31</v>
      </c>
      <c r="D34" s="6">
        <v>86</v>
      </c>
      <c r="E34" s="6">
        <v>136</v>
      </c>
      <c r="F34" s="7">
        <v>3189.45</v>
      </c>
      <c r="G34" s="7">
        <v>5529.6</v>
      </c>
      <c r="H34" s="7">
        <v>2716.25</v>
      </c>
      <c r="I34" s="6">
        <v>0</v>
      </c>
      <c r="J34" s="7">
        <v>0</v>
      </c>
      <c r="K34" s="6">
        <v>150</v>
      </c>
      <c r="L34" s="7">
        <v>11585.3</v>
      </c>
      <c r="M34" s="6">
        <v>463.41</v>
      </c>
      <c r="N34" s="7">
        <v>7431.61</v>
      </c>
      <c r="O34" s="7">
        <v>330.99</v>
      </c>
      <c r="P34" s="6">
        <v>96.04</v>
      </c>
      <c r="Q34" s="9">
        <v>0</v>
      </c>
      <c r="R34" s="6">
        <v>0</v>
      </c>
      <c r="S34" s="9">
        <v>0</v>
      </c>
      <c r="T34" s="7">
        <v>7858.64</v>
      </c>
      <c r="U34" s="9">
        <v>0</v>
      </c>
      <c r="V34" s="7">
        <v>0</v>
      </c>
      <c r="W34" s="12">
        <f t="shared" si="0"/>
        <v>3263.25</v>
      </c>
    </row>
    <row r="35" ht="13.8" spans="1:23">
      <c r="A35" s="5">
        <v>4237470</v>
      </c>
      <c r="B35" s="6" t="s">
        <v>71</v>
      </c>
      <c r="C35" s="6" t="s">
        <v>72</v>
      </c>
      <c r="D35" s="6">
        <v>53</v>
      </c>
      <c r="E35" s="6">
        <v>66</v>
      </c>
      <c r="F35" s="7">
        <v>1610.55</v>
      </c>
      <c r="G35" s="7">
        <v>2312.6</v>
      </c>
      <c r="H35" s="7">
        <v>1637.99</v>
      </c>
      <c r="I35" s="7">
        <v>0</v>
      </c>
      <c r="J35" s="6">
        <v>0</v>
      </c>
      <c r="K35" s="6">
        <v>50</v>
      </c>
      <c r="L35" s="7">
        <v>5611.14</v>
      </c>
      <c r="M35" s="6">
        <v>224.45</v>
      </c>
      <c r="N35" s="7">
        <v>2282.31</v>
      </c>
      <c r="O35" s="7">
        <v>850.98</v>
      </c>
      <c r="P35" s="6">
        <v>96.04</v>
      </c>
      <c r="Q35" s="9">
        <v>0</v>
      </c>
      <c r="R35" s="6">
        <v>0</v>
      </c>
      <c r="S35" s="9">
        <v>0</v>
      </c>
      <c r="T35" s="7">
        <v>3229.33</v>
      </c>
      <c r="U35" s="9">
        <v>0</v>
      </c>
      <c r="V35" s="7">
        <v>1000</v>
      </c>
      <c r="W35" s="12">
        <f t="shared" si="0"/>
        <v>3157.36</v>
      </c>
    </row>
    <row r="36" ht="13.8" spans="1:23">
      <c r="A36" s="5">
        <v>3880483</v>
      </c>
      <c r="B36" s="6" t="s">
        <v>73</v>
      </c>
      <c r="C36" s="6" t="s">
        <v>74</v>
      </c>
      <c r="D36" s="6">
        <v>42</v>
      </c>
      <c r="E36" s="6">
        <v>48</v>
      </c>
      <c r="F36" s="7">
        <v>1408.09</v>
      </c>
      <c r="G36" s="7">
        <v>2423.05</v>
      </c>
      <c r="H36" s="7">
        <v>626.11</v>
      </c>
      <c r="I36" s="7">
        <v>625</v>
      </c>
      <c r="J36" s="7">
        <v>0</v>
      </c>
      <c r="K36" s="6">
        <v>16.67</v>
      </c>
      <c r="L36" s="7">
        <v>5098.92</v>
      </c>
      <c r="M36" s="6">
        <v>203.96</v>
      </c>
      <c r="N36" s="7">
        <v>1737.69</v>
      </c>
      <c r="O36" s="7">
        <v>0</v>
      </c>
      <c r="P36" s="6">
        <v>0</v>
      </c>
      <c r="Q36" s="13">
        <v>0</v>
      </c>
      <c r="R36" s="6">
        <v>0</v>
      </c>
      <c r="S36" s="13">
        <v>0</v>
      </c>
      <c r="T36" s="7">
        <v>1737.69</v>
      </c>
      <c r="U36" s="13">
        <v>0</v>
      </c>
      <c r="V36" s="7">
        <v>0</v>
      </c>
      <c r="W36" s="12">
        <f t="shared" si="0"/>
        <v>3157.27</v>
      </c>
    </row>
    <row r="37" ht="13.8" spans="1:23">
      <c r="A37" s="2">
        <v>4247395</v>
      </c>
      <c r="B37" s="3" t="s">
        <v>75</v>
      </c>
      <c r="C37" s="8" t="s">
        <v>53</v>
      </c>
      <c r="D37" s="3">
        <v>58</v>
      </c>
      <c r="E37" s="3">
        <v>77</v>
      </c>
      <c r="F37" s="4">
        <v>2042.55</v>
      </c>
      <c r="G37" s="4">
        <v>2963.97</v>
      </c>
      <c r="H37" s="4">
        <v>1707.28</v>
      </c>
      <c r="I37" s="3">
        <v>0</v>
      </c>
      <c r="J37" s="3">
        <v>0</v>
      </c>
      <c r="K37" s="3">
        <v>100</v>
      </c>
      <c r="L37" s="4">
        <v>6813.8</v>
      </c>
      <c r="M37" s="3">
        <v>272.55</v>
      </c>
      <c r="N37" s="4">
        <v>3081.92</v>
      </c>
      <c r="O37" s="4">
        <v>440.99</v>
      </c>
      <c r="P37" s="3">
        <v>96.04</v>
      </c>
      <c r="Q37" s="3">
        <v>0</v>
      </c>
      <c r="R37" s="3">
        <v>0</v>
      </c>
      <c r="S37" s="3">
        <v>0</v>
      </c>
      <c r="T37" s="4">
        <v>3618.95</v>
      </c>
      <c r="U37" s="3">
        <v>0</v>
      </c>
      <c r="V37" s="4">
        <v>0</v>
      </c>
      <c r="W37" s="12">
        <f t="shared" si="0"/>
        <v>2922.3</v>
      </c>
    </row>
    <row r="38" ht="13.8" spans="1:23">
      <c r="A38" s="5">
        <v>2016629</v>
      </c>
      <c r="B38" s="6" t="s">
        <v>76</v>
      </c>
      <c r="C38" s="6" t="s">
        <v>77</v>
      </c>
      <c r="D38" s="6">
        <v>44</v>
      </c>
      <c r="E38" s="6">
        <v>58</v>
      </c>
      <c r="F38" s="7">
        <v>1646.7</v>
      </c>
      <c r="G38" s="7">
        <v>2430.9</v>
      </c>
      <c r="H38" s="7">
        <v>1242.06</v>
      </c>
      <c r="I38" s="7">
        <v>0</v>
      </c>
      <c r="J38" s="6">
        <v>0</v>
      </c>
      <c r="K38" s="6">
        <v>150</v>
      </c>
      <c r="L38" s="7">
        <v>5469.66</v>
      </c>
      <c r="M38" s="6">
        <v>218.79</v>
      </c>
      <c r="N38" s="7">
        <v>2410.95</v>
      </c>
      <c r="O38" s="7">
        <v>0</v>
      </c>
      <c r="P38" s="6">
        <v>0</v>
      </c>
      <c r="Q38" s="13">
        <v>0</v>
      </c>
      <c r="R38" s="6">
        <v>0</v>
      </c>
      <c r="S38" s="13">
        <v>0</v>
      </c>
      <c r="T38" s="7">
        <v>2410.95</v>
      </c>
      <c r="U38" s="13">
        <v>0</v>
      </c>
      <c r="V38" s="7">
        <v>0</v>
      </c>
      <c r="W38" s="12">
        <f t="shared" si="0"/>
        <v>2839.92</v>
      </c>
    </row>
    <row r="39" ht="13.8" spans="1:23">
      <c r="A39" s="5">
        <v>4415686</v>
      </c>
      <c r="B39" s="6" t="s">
        <v>78</v>
      </c>
      <c r="C39" s="6" t="s">
        <v>77</v>
      </c>
      <c r="D39" s="6">
        <v>58</v>
      </c>
      <c r="E39" s="6">
        <v>75</v>
      </c>
      <c r="F39" s="7">
        <v>2191.2</v>
      </c>
      <c r="G39" s="7">
        <v>3167.2</v>
      </c>
      <c r="H39" s="7">
        <v>1732.6</v>
      </c>
      <c r="I39" s="6">
        <v>0</v>
      </c>
      <c r="J39" s="6">
        <v>0</v>
      </c>
      <c r="K39" s="6">
        <v>66.67</v>
      </c>
      <c r="L39" s="7">
        <v>7157.67</v>
      </c>
      <c r="M39" s="6">
        <v>286.31</v>
      </c>
      <c r="N39" s="7">
        <v>2891.41</v>
      </c>
      <c r="O39" s="7">
        <v>1055.98</v>
      </c>
      <c r="P39" s="6">
        <v>96.04</v>
      </c>
      <c r="Q39" s="9">
        <v>0</v>
      </c>
      <c r="R39" s="6">
        <v>0</v>
      </c>
      <c r="S39" s="9">
        <v>0</v>
      </c>
      <c r="T39" s="7">
        <v>4043.43</v>
      </c>
      <c r="U39" s="9">
        <v>0</v>
      </c>
      <c r="V39" s="7">
        <v>0</v>
      </c>
      <c r="W39" s="12">
        <f t="shared" si="0"/>
        <v>2827.93</v>
      </c>
    </row>
    <row r="40" ht="13.8" spans="1:23">
      <c r="A40" s="5">
        <v>4326961</v>
      </c>
      <c r="B40" s="6" t="s">
        <v>79</v>
      </c>
      <c r="C40" s="6" t="s">
        <v>46</v>
      </c>
      <c r="D40" s="6">
        <v>47</v>
      </c>
      <c r="E40" s="6">
        <v>60</v>
      </c>
      <c r="F40" s="7">
        <v>1684.61</v>
      </c>
      <c r="G40" s="7">
        <v>2469.6</v>
      </c>
      <c r="H40" s="7">
        <v>1533.34</v>
      </c>
      <c r="I40" s="7">
        <v>0</v>
      </c>
      <c r="J40" s="6">
        <v>0</v>
      </c>
      <c r="K40" s="6">
        <v>0</v>
      </c>
      <c r="L40" s="7">
        <v>5687.55</v>
      </c>
      <c r="M40" s="6">
        <v>227.5</v>
      </c>
      <c r="N40" s="7">
        <v>937.47</v>
      </c>
      <c r="O40" s="7">
        <v>1719.99</v>
      </c>
      <c r="P40" s="6">
        <v>96.04</v>
      </c>
      <c r="Q40" s="9">
        <v>0</v>
      </c>
      <c r="R40" s="6">
        <v>0</v>
      </c>
      <c r="S40" s="9">
        <v>0</v>
      </c>
      <c r="T40" s="7">
        <v>2753.5</v>
      </c>
      <c r="U40" s="9">
        <v>0</v>
      </c>
      <c r="V40" s="7">
        <v>0</v>
      </c>
      <c r="W40" s="12">
        <f t="shared" si="0"/>
        <v>2706.55</v>
      </c>
    </row>
    <row r="41" ht="13.8" spans="1:23">
      <c r="A41" s="5">
        <v>1725677</v>
      </c>
      <c r="B41" s="6" t="s">
        <v>80</v>
      </c>
      <c r="C41" s="6" t="s">
        <v>31</v>
      </c>
      <c r="D41" s="6">
        <v>75</v>
      </c>
      <c r="E41" s="6">
        <v>108</v>
      </c>
      <c r="F41" s="7">
        <v>2745.6</v>
      </c>
      <c r="G41" s="7">
        <v>4320</v>
      </c>
      <c r="H41" s="7">
        <v>2038.75</v>
      </c>
      <c r="I41" s="6">
        <v>0</v>
      </c>
      <c r="J41" s="7">
        <v>0</v>
      </c>
      <c r="K41" s="6">
        <v>66.67</v>
      </c>
      <c r="L41" s="7">
        <v>9171.02</v>
      </c>
      <c r="M41" s="6">
        <v>366.84</v>
      </c>
      <c r="N41" s="7">
        <v>6257.81</v>
      </c>
      <c r="O41" s="7">
        <v>0</v>
      </c>
      <c r="P41" s="6">
        <v>96.04</v>
      </c>
      <c r="Q41" s="13">
        <v>500</v>
      </c>
      <c r="R41" s="6">
        <v>0</v>
      </c>
      <c r="S41" s="13">
        <v>0</v>
      </c>
      <c r="T41" s="7">
        <v>6353.85</v>
      </c>
      <c r="U41" s="13">
        <v>935</v>
      </c>
      <c r="V41" s="7">
        <v>1600</v>
      </c>
      <c r="W41" s="12">
        <f t="shared" si="0"/>
        <v>2615.33</v>
      </c>
    </row>
    <row r="42" ht="13.8" spans="1:23">
      <c r="A42" s="5">
        <v>4401179</v>
      </c>
      <c r="B42" s="9" t="s">
        <v>81</v>
      </c>
      <c r="C42" s="6" t="s">
        <v>82</v>
      </c>
      <c r="D42" s="6">
        <v>99</v>
      </c>
      <c r="E42" s="6">
        <v>132</v>
      </c>
      <c r="F42" s="7">
        <v>3026.45</v>
      </c>
      <c r="G42" s="7">
        <v>5343.12</v>
      </c>
      <c r="H42" s="7">
        <v>2858.19</v>
      </c>
      <c r="I42" s="6">
        <v>0</v>
      </c>
      <c r="J42" s="7">
        <v>0</v>
      </c>
      <c r="K42" s="6">
        <v>25</v>
      </c>
      <c r="L42" s="7">
        <v>11252.76</v>
      </c>
      <c r="M42" s="7">
        <v>450.11</v>
      </c>
      <c r="N42" s="7">
        <v>7919.71</v>
      </c>
      <c r="O42" s="7">
        <v>1072.98</v>
      </c>
      <c r="P42" s="6">
        <v>96.04</v>
      </c>
      <c r="Q42" s="13">
        <v>1250</v>
      </c>
      <c r="R42" s="6">
        <v>0</v>
      </c>
      <c r="S42" s="13">
        <v>0</v>
      </c>
      <c r="T42" s="7">
        <v>9088.73</v>
      </c>
      <c r="U42" s="13">
        <v>935</v>
      </c>
      <c r="V42" s="7">
        <v>2800</v>
      </c>
      <c r="W42" s="12">
        <f t="shared" si="0"/>
        <v>2328.92</v>
      </c>
    </row>
    <row r="43" ht="13.8" spans="1:23">
      <c r="A43" s="5">
        <v>2413602</v>
      </c>
      <c r="B43" s="6" t="s">
        <v>83</v>
      </c>
      <c r="C43" s="6" t="s">
        <v>28</v>
      </c>
      <c r="D43" s="6">
        <v>136</v>
      </c>
      <c r="E43" s="6">
        <v>209</v>
      </c>
      <c r="F43" s="7">
        <v>4504.5</v>
      </c>
      <c r="G43" s="7">
        <v>7708.87</v>
      </c>
      <c r="H43" s="7">
        <v>3006.74</v>
      </c>
      <c r="I43" s="6">
        <v>0</v>
      </c>
      <c r="J43" s="7">
        <v>2570.83</v>
      </c>
      <c r="K43" s="6">
        <v>88.9</v>
      </c>
      <c r="L43" s="7">
        <v>17879.84</v>
      </c>
      <c r="M43" s="6">
        <v>715.19</v>
      </c>
      <c r="N43" s="7">
        <v>10132.3</v>
      </c>
      <c r="O43" s="7">
        <v>4749.16</v>
      </c>
      <c r="P43" s="6">
        <v>96.04</v>
      </c>
      <c r="Q43" s="9">
        <v>0</v>
      </c>
      <c r="R43" s="6">
        <v>0</v>
      </c>
      <c r="S43" s="9">
        <v>0</v>
      </c>
      <c r="T43" s="7">
        <v>14977.5</v>
      </c>
      <c r="U43" s="9">
        <v>0</v>
      </c>
      <c r="V43" s="6">
        <v>0</v>
      </c>
      <c r="W43" s="12">
        <f t="shared" si="0"/>
        <v>2187.15</v>
      </c>
    </row>
    <row r="44" ht="13.8" spans="1:23">
      <c r="A44" s="5">
        <v>1978413</v>
      </c>
      <c r="B44" s="9" t="s">
        <v>84</v>
      </c>
      <c r="C44" s="6" t="s">
        <v>46</v>
      </c>
      <c r="D44" s="6">
        <v>21</v>
      </c>
      <c r="E44" s="6">
        <v>27</v>
      </c>
      <c r="F44" s="7">
        <v>761.45</v>
      </c>
      <c r="G44" s="7">
        <v>1107</v>
      </c>
      <c r="H44" s="7">
        <v>881.47</v>
      </c>
      <c r="I44" s="7">
        <v>0</v>
      </c>
      <c r="J44" s="7">
        <v>0</v>
      </c>
      <c r="K44" s="6">
        <v>58.33</v>
      </c>
      <c r="L44" s="7">
        <v>2808.25</v>
      </c>
      <c r="M44" s="6">
        <v>112.33</v>
      </c>
      <c r="N44" s="7">
        <v>486.99</v>
      </c>
      <c r="O44" s="7">
        <v>0</v>
      </c>
      <c r="P44" s="6">
        <v>96.04</v>
      </c>
      <c r="Q44" s="13">
        <v>0</v>
      </c>
      <c r="R44" s="7">
        <v>0</v>
      </c>
      <c r="S44" s="13">
        <v>0</v>
      </c>
      <c r="T44" s="7">
        <v>583.03</v>
      </c>
      <c r="U44" s="13">
        <v>0</v>
      </c>
      <c r="V44" s="7">
        <v>0</v>
      </c>
      <c r="W44" s="12">
        <f t="shared" si="0"/>
        <v>2112.89</v>
      </c>
    </row>
    <row r="45" ht="13.8" spans="1:23">
      <c r="A45" s="5">
        <v>4170219</v>
      </c>
      <c r="B45" s="6" t="s">
        <v>85</v>
      </c>
      <c r="C45" s="6" t="s">
        <v>77</v>
      </c>
      <c r="D45" s="6">
        <v>70</v>
      </c>
      <c r="E45" s="6">
        <v>90</v>
      </c>
      <c r="F45" s="7">
        <v>2788.5</v>
      </c>
      <c r="G45" s="7">
        <v>4008.95</v>
      </c>
      <c r="H45" s="7">
        <v>2220.5</v>
      </c>
      <c r="I45" s="7">
        <v>0</v>
      </c>
      <c r="J45" s="6">
        <v>0</v>
      </c>
      <c r="K45" s="6">
        <v>108.33</v>
      </c>
      <c r="L45" s="7">
        <v>9126.28</v>
      </c>
      <c r="M45" s="6">
        <v>365.05</v>
      </c>
      <c r="N45" s="7">
        <v>6451.54</v>
      </c>
      <c r="O45" s="7">
        <v>207.99</v>
      </c>
      <c r="P45" s="6">
        <v>96.04</v>
      </c>
      <c r="Q45" s="13">
        <v>0</v>
      </c>
      <c r="R45" s="6">
        <v>0</v>
      </c>
      <c r="S45" s="13">
        <v>0</v>
      </c>
      <c r="T45" s="7">
        <v>6755.57</v>
      </c>
      <c r="U45" s="13">
        <v>0</v>
      </c>
      <c r="V45" s="7">
        <v>0</v>
      </c>
      <c r="W45" s="12">
        <f t="shared" si="0"/>
        <v>2005.66</v>
      </c>
    </row>
    <row r="46" ht="13.8" spans="1:23">
      <c r="A46" s="5">
        <v>4300985</v>
      </c>
      <c r="B46" s="6" t="s">
        <v>86</v>
      </c>
      <c r="C46" s="6" t="s">
        <v>87</v>
      </c>
      <c r="D46" s="6">
        <v>57</v>
      </c>
      <c r="E46" s="6">
        <v>68</v>
      </c>
      <c r="F46" s="7">
        <v>1579.2</v>
      </c>
      <c r="G46" s="7">
        <v>2400.67</v>
      </c>
      <c r="H46" s="7">
        <v>1076.56</v>
      </c>
      <c r="I46" s="7">
        <v>0</v>
      </c>
      <c r="J46" s="7">
        <v>0</v>
      </c>
      <c r="K46" s="6">
        <v>33.33</v>
      </c>
      <c r="L46" s="7">
        <v>5089.76</v>
      </c>
      <c r="M46" s="6">
        <v>203.59</v>
      </c>
      <c r="N46" s="7">
        <v>2863.09</v>
      </c>
      <c r="O46" s="7">
        <v>0</v>
      </c>
      <c r="P46" s="6">
        <v>96.04</v>
      </c>
      <c r="Q46" s="9">
        <v>0</v>
      </c>
      <c r="R46" s="7">
        <v>0</v>
      </c>
      <c r="S46" s="9">
        <v>0</v>
      </c>
      <c r="T46" s="7">
        <v>2959.13</v>
      </c>
      <c r="U46" s="9">
        <v>0</v>
      </c>
      <c r="V46" s="7">
        <v>0</v>
      </c>
      <c r="W46" s="12">
        <f t="shared" si="0"/>
        <v>1927.04</v>
      </c>
    </row>
    <row r="47" ht="13.8" spans="1:23">
      <c r="A47" s="5">
        <v>4289266</v>
      </c>
      <c r="B47" s="6" t="s">
        <v>88</v>
      </c>
      <c r="C47" s="6" t="s">
        <v>28</v>
      </c>
      <c r="D47" s="6">
        <v>65</v>
      </c>
      <c r="E47" s="6">
        <v>96</v>
      </c>
      <c r="F47" s="7">
        <v>2148</v>
      </c>
      <c r="G47" s="7">
        <v>3536.15</v>
      </c>
      <c r="H47" s="7">
        <v>1595.02</v>
      </c>
      <c r="I47" s="7">
        <v>0</v>
      </c>
      <c r="J47" s="7">
        <v>0</v>
      </c>
      <c r="K47" s="6">
        <v>83.33</v>
      </c>
      <c r="L47" s="7">
        <v>7362.5</v>
      </c>
      <c r="M47" s="7">
        <v>294.5</v>
      </c>
      <c r="N47" s="7">
        <v>3735.15</v>
      </c>
      <c r="O47" s="7">
        <v>0</v>
      </c>
      <c r="P47" s="6">
        <v>96.04</v>
      </c>
      <c r="Q47" s="9">
        <v>500</v>
      </c>
      <c r="R47" s="6">
        <v>0</v>
      </c>
      <c r="S47" s="9">
        <v>0</v>
      </c>
      <c r="T47" s="7">
        <v>3831.19</v>
      </c>
      <c r="U47" s="9">
        <v>935</v>
      </c>
      <c r="V47" s="7">
        <v>0</v>
      </c>
      <c r="W47" s="12">
        <f t="shared" si="0"/>
        <v>1801.81</v>
      </c>
    </row>
    <row r="48" ht="13.8" spans="1:23">
      <c r="A48" s="5">
        <v>4379725</v>
      </c>
      <c r="B48" s="6" t="s">
        <v>89</v>
      </c>
      <c r="C48" s="6" t="s">
        <v>69</v>
      </c>
      <c r="D48" s="6">
        <v>130</v>
      </c>
      <c r="E48" s="6">
        <v>181</v>
      </c>
      <c r="F48" s="7">
        <v>5047</v>
      </c>
      <c r="G48" s="7">
        <v>8677.4</v>
      </c>
      <c r="H48" s="7">
        <v>3909</v>
      </c>
      <c r="I48" s="7">
        <v>0</v>
      </c>
      <c r="J48" s="7">
        <v>2375</v>
      </c>
      <c r="K48" s="6">
        <v>100</v>
      </c>
      <c r="L48" s="7">
        <v>20108.4</v>
      </c>
      <c r="M48" s="6">
        <v>804.34</v>
      </c>
      <c r="N48" s="7">
        <v>12610.96</v>
      </c>
      <c r="O48" s="7">
        <v>4886.29</v>
      </c>
      <c r="P48" s="6">
        <v>96.04</v>
      </c>
      <c r="Q48" s="9">
        <v>0</v>
      </c>
      <c r="R48" s="6">
        <v>0</v>
      </c>
      <c r="S48" s="9">
        <v>0</v>
      </c>
      <c r="T48" s="7">
        <v>17593.29</v>
      </c>
      <c r="U48" s="9">
        <v>0</v>
      </c>
      <c r="V48" s="7">
        <v>0</v>
      </c>
      <c r="W48" s="12">
        <f t="shared" si="0"/>
        <v>1710.77</v>
      </c>
    </row>
    <row r="49" ht="13.8" spans="1:23">
      <c r="A49" s="5">
        <v>4401307</v>
      </c>
      <c r="B49" s="6" t="s">
        <v>90</v>
      </c>
      <c r="C49" s="6" t="s">
        <v>77</v>
      </c>
      <c r="D49" s="6">
        <v>30</v>
      </c>
      <c r="E49" s="6">
        <v>43</v>
      </c>
      <c r="F49" s="7">
        <v>1100.55</v>
      </c>
      <c r="G49" s="7">
        <v>1794.5</v>
      </c>
      <c r="H49" s="7">
        <v>923.9</v>
      </c>
      <c r="I49" s="7">
        <v>0</v>
      </c>
      <c r="J49" s="7">
        <v>0</v>
      </c>
      <c r="K49" s="6">
        <v>0</v>
      </c>
      <c r="L49" s="7">
        <v>3818.95</v>
      </c>
      <c r="M49" s="7">
        <v>152.76</v>
      </c>
      <c r="N49" s="7">
        <v>1705.96</v>
      </c>
      <c r="O49" s="7">
        <v>0</v>
      </c>
      <c r="P49" s="6">
        <v>96.04</v>
      </c>
      <c r="Q49" s="13">
        <v>0</v>
      </c>
      <c r="R49" s="6">
        <v>0</v>
      </c>
      <c r="S49" s="13">
        <v>0</v>
      </c>
      <c r="T49" s="7">
        <v>1955.44</v>
      </c>
      <c r="U49" s="13">
        <v>0</v>
      </c>
      <c r="V49" s="7">
        <v>0</v>
      </c>
      <c r="W49" s="12">
        <v>1226</v>
      </c>
    </row>
    <row r="50" ht="13.8" spans="1:23">
      <c r="A50" s="5">
        <v>4416240</v>
      </c>
      <c r="B50" s="6" t="s">
        <v>91</v>
      </c>
      <c r="C50" s="6" t="s">
        <v>92</v>
      </c>
      <c r="D50" s="6">
        <v>53</v>
      </c>
      <c r="E50" s="6">
        <v>65</v>
      </c>
      <c r="F50" s="7">
        <v>1722</v>
      </c>
      <c r="G50" s="7">
        <v>2630.25</v>
      </c>
      <c r="H50" s="7">
        <v>1643.02</v>
      </c>
      <c r="I50" s="7">
        <v>0</v>
      </c>
      <c r="J50" s="6">
        <v>0</v>
      </c>
      <c r="K50" s="6">
        <v>70.83</v>
      </c>
      <c r="L50" s="7">
        <v>6066.1</v>
      </c>
      <c r="M50" s="6">
        <v>242.64</v>
      </c>
      <c r="N50" s="7">
        <v>5923.85</v>
      </c>
      <c r="O50" s="7">
        <v>0</v>
      </c>
      <c r="P50" s="6">
        <v>96.04</v>
      </c>
      <c r="Q50" s="9">
        <v>0</v>
      </c>
      <c r="R50" s="6">
        <v>0</v>
      </c>
      <c r="S50" s="9">
        <v>0</v>
      </c>
      <c r="T50" s="7">
        <v>6019.89</v>
      </c>
      <c r="U50" s="9">
        <v>0</v>
      </c>
      <c r="V50" s="7">
        <v>1850</v>
      </c>
      <c r="W50" s="12">
        <f t="shared" ref="W50:W144" si="1">(L50)-(T50)-(M50)-(Q50)-(U50)-(S50)+(V50)</f>
        <v>1653.57</v>
      </c>
    </row>
    <row r="51" ht="13.8" spans="1:23">
      <c r="A51" s="5">
        <v>4379846</v>
      </c>
      <c r="B51" s="6" t="s">
        <v>93</v>
      </c>
      <c r="C51" s="6" t="s">
        <v>77</v>
      </c>
      <c r="D51" s="6">
        <v>111</v>
      </c>
      <c r="E51" s="6">
        <v>143</v>
      </c>
      <c r="F51" s="7">
        <v>4125</v>
      </c>
      <c r="G51" s="7">
        <v>5964.4</v>
      </c>
      <c r="H51" s="7">
        <v>2977.32</v>
      </c>
      <c r="I51" s="7">
        <v>0</v>
      </c>
      <c r="J51" s="7">
        <v>0</v>
      </c>
      <c r="K51" s="6">
        <v>125</v>
      </c>
      <c r="L51" s="7">
        <v>13191.72</v>
      </c>
      <c r="M51" s="6">
        <v>527.67</v>
      </c>
      <c r="N51" s="7">
        <v>9539.32</v>
      </c>
      <c r="O51" s="7">
        <v>1379.99</v>
      </c>
      <c r="P51" s="6">
        <v>96.04</v>
      </c>
      <c r="Q51" s="9">
        <v>0</v>
      </c>
      <c r="R51" s="6">
        <v>0</v>
      </c>
      <c r="S51" s="9">
        <v>0</v>
      </c>
      <c r="T51" s="7">
        <v>11015.35</v>
      </c>
      <c r="U51" s="9">
        <v>0</v>
      </c>
      <c r="V51" s="7">
        <v>0</v>
      </c>
      <c r="W51" s="12">
        <f t="shared" si="1"/>
        <v>1648.7</v>
      </c>
    </row>
    <row r="52" ht="13.8" spans="1:23">
      <c r="A52" s="5">
        <v>2477605</v>
      </c>
      <c r="B52" s="6" t="s">
        <v>94</v>
      </c>
      <c r="C52" s="6" t="s">
        <v>87</v>
      </c>
      <c r="D52" s="6">
        <v>85</v>
      </c>
      <c r="E52" s="6">
        <v>109</v>
      </c>
      <c r="F52" s="7">
        <v>2379.6</v>
      </c>
      <c r="G52" s="7">
        <v>3878.55</v>
      </c>
      <c r="H52" s="7">
        <v>1646.98</v>
      </c>
      <c r="I52" s="6">
        <v>0</v>
      </c>
      <c r="J52" s="7">
        <v>0</v>
      </c>
      <c r="K52" s="6">
        <v>58.33</v>
      </c>
      <c r="L52" s="7">
        <v>7963.46</v>
      </c>
      <c r="M52" s="7">
        <v>318.54</v>
      </c>
      <c r="N52" s="7">
        <v>4298.38</v>
      </c>
      <c r="O52" s="7">
        <v>1834.97</v>
      </c>
      <c r="P52" s="6">
        <v>96.04</v>
      </c>
      <c r="Q52" s="9">
        <v>0</v>
      </c>
      <c r="R52" s="6">
        <v>0</v>
      </c>
      <c r="S52" s="9">
        <v>0</v>
      </c>
      <c r="T52" s="7">
        <v>6229.39</v>
      </c>
      <c r="U52" s="9">
        <v>0</v>
      </c>
      <c r="V52" s="7">
        <v>0</v>
      </c>
      <c r="W52" s="12">
        <f t="shared" si="1"/>
        <v>1415.53</v>
      </c>
    </row>
    <row r="53" ht="13.8" spans="1:23">
      <c r="A53" s="5">
        <v>4401198</v>
      </c>
      <c r="B53" s="6" t="s">
        <v>95</v>
      </c>
      <c r="C53" s="6" t="s">
        <v>77</v>
      </c>
      <c r="D53" s="6">
        <v>14</v>
      </c>
      <c r="E53" s="6">
        <v>21</v>
      </c>
      <c r="F53" s="7">
        <v>565.95</v>
      </c>
      <c r="G53" s="7">
        <v>960.15</v>
      </c>
      <c r="H53" s="7">
        <v>430.4</v>
      </c>
      <c r="I53" s="7">
        <v>0</v>
      </c>
      <c r="J53" s="7">
        <v>0</v>
      </c>
      <c r="K53" s="6">
        <v>16.67</v>
      </c>
      <c r="L53" s="7">
        <v>1973.17</v>
      </c>
      <c r="M53" s="6">
        <v>78.93</v>
      </c>
      <c r="N53" s="7">
        <v>489.99</v>
      </c>
      <c r="O53" s="7">
        <v>0</v>
      </c>
      <c r="P53" s="6">
        <v>0</v>
      </c>
      <c r="Q53" s="9">
        <v>0</v>
      </c>
      <c r="R53" s="6">
        <v>0</v>
      </c>
      <c r="S53" s="9">
        <v>0</v>
      </c>
      <c r="T53" s="6">
        <v>489.99</v>
      </c>
      <c r="U53" s="9">
        <v>0</v>
      </c>
      <c r="V53" s="7">
        <v>0</v>
      </c>
      <c r="W53" s="12">
        <f t="shared" si="1"/>
        <v>1404.25</v>
      </c>
    </row>
    <row r="54" ht="13.8" spans="1:23">
      <c r="A54" s="5">
        <v>4282326</v>
      </c>
      <c r="B54" s="6" t="s">
        <v>96</v>
      </c>
      <c r="C54" s="6" t="s">
        <v>97</v>
      </c>
      <c r="D54" s="6">
        <v>18</v>
      </c>
      <c r="E54" s="6">
        <v>30</v>
      </c>
      <c r="F54" s="7">
        <v>695.65</v>
      </c>
      <c r="G54" s="7">
        <v>1368.91</v>
      </c>
      <c r="H54" s="7">
        <v>580.07</v>
      </c>
      <c r="I54" s="7">
        <v>0</v>
      </c>
      <c r="J54" s="7">
        <v>0</v>
      </c>
      <c r="K54" s="6">
        <v>83.33</v>
      </c>
      <c r="L54" s="7">
        <v>2727.96</v>
      </c>
      <c r="M54" s="6">
        <v>109.12</v>
      </c>
      <c r="N54" s="7">
        <v>734.98</v>
      </c>
      <c r="O54" s="7">
        <v>550.98</v>
      </c>
      <c r="P54" s="6">
        <v>0</v>
      </c>
      <c r="Q54" s="9">
        <v>0</v>
      </c>
      <c r="R54" s="6">
        <v>0</v>
      </c>
      <c r="S54" s="9">
        <v>0</v>
      </c>
      <c r="T54" s="7">
        <v>1285.96</v>
      </c>
      <c r="U54" s="9">
        <v>0</v>
      </c>
      <c r="V54" s="7">
        <v>0</v>
      </c>
      <c r="W54" s="12">
        <f t="shared" si="1"/>
        <v>1332.88</v>
      </c>
    </row>
    <row r="55" ht="13.8" spans="1:23">
      <c r="A55" s="2">
        <v>2422464</v>
      </c>
      <c r="B55" s="3" t="s">
        <v>98</v>
      </c>
      <c r="C55" s="3" t="s">
        <v>24</v>
      </c>
      <c r="D55" s="3">
        <v>11</v>
      </c>
      <c r="E55" s="3">
        <v>17</v>
      </c>
      <c r="F55" s="4">
        <v>510.3</v>
      </c>
      <c r="G55" s="4">
        <v>840.34</v>
      </c>
      <c r="H55" s="4">
        <v>386.26</v>
      </c>
      <c r="I55" s="3">
        <v>0</v>
      </c>
      <c r="J55" s="4">
        <v>0</v>
      </c>
      <c r="K55" s="3">
        <v>58.33</v>
      </c>
      <c r="L55" s="4">
        <v>1795.23</v>
      </c>
      <c r="M55" s="3">
        <v>71.81</v>
      </c>
      <c r="N55" s="4">
        <v>329.99</v>
      </c>
      <c r="O55" s="4">
        <v>0</v>
      </c>
      <c r="P55" s="3">
        <v>96.04</v>
      </c>
      <c r="Q55" s="4">
        <v>0</v>
      </c>
      <c r="R55" s="3">
        <v>0</v>
      </c>
      <c r="S55" s="4">
        <v>0</v>
      </c>
      <c r="T55" s="4">
        <v>426.03</v>
      </c>
      <c r="U55" s="4">
        <v>0</v>
      </c>
      <c r="V55" s="4">
        <v>0</v>
      </c>
      <c r="W55" s="12">
        <f t="shared" si="1"/>
        <v>1297.39</v>
      </c>
    </row>
    <row r="56" ht="13.8" spans="1:23">
      <c r="A56" s="2">
        <v>4337843</v>
      </c>
      <c r="B56" s="3" t="s">
        <v>99</v>
      </c>
      <c r="C56" s="8" t="s">
        <v>24</v>
      </c>
      <c r="D56" s="3">
        <v>18</v>
      </c>
      <c r="E56" s="3">
        <v>22</v>
      </c>
      <c r="F56" s="4">
        <v>819</v>
      </c>
      <c r="G56" s="4">
        <v>1073.4</v>
      </c>
      <c r="H56" s="4">
        <v>505.27</v>
      </c>
      <c r="I56" s="4">
        <v>0</v>
      </c>
      <c r="J56" s="3">
        <v>0</v>
      </c>
      <c r="K56" s="3">
        <v>37.5</v>
      </c>
      <c r="L56" s="4">
        <v>2435.17</v>
      </c>
      <c r="M56" s="3">
        <v>97.41</v>
      </c>
      <c r="N56" s="4">
        <v>0</v>
      </c>
      <c r="O56" s="4">
        <v>1068.69</v>
      </c>
      <c r="P56" s="3">
        <v>0</v>
      </c>
      <c r="Q56" s="3">
        <v>0</v>
      </c>
      <c r="R56" s="3">
        <v>0</v>
      </c>
      <c r="S56" s="3">
        <v>0</v>
      </c>
      <c r="T56" s="4">
        <v>1068.69</v>
      </c>
      <c r="U56" s="3">
        <v>0</v>
      </c>
      <c r="V56" s="4">
        <v>0</v>
      </c>
      <c r="W56" s="12">
        <f t="shared" si="1"/>
        <v>1269.07</v>
      </c>
    </row>
    <row r="57" ht="13.8" spans="1:23">
      <c r="A57" s="5">
        <v>4280648</v>
      </c>
      <c r="B57" s="6" t="s">
        <v>100</v>
      </c>
      <c r="C57" s="6" t="s">
        <v>28</v>
      </c>
      <c r="D57" s="6">
        <v>44</v>
      </c>
      <c r="E57" s="6">
        <v>68</v>
      </c>
      <c r="F57" s="7">
        <v>1497</v>
      </c>
      <c r="G57" s="7">
        <v>2591.48</v>
      </c>
      <c r="H57" s="7">
        <v>1322.54</v>
      </c>
      <c r="I57" s="6">
        <v>0</v>
      </c>
      <c r="J57" s="6">
        <v>0</v>
      </c>
      <c r="K57" s="6">
        <v>100</v>
      </c>
      <c r="L57" s="7">
        <v>5511.02</v>
      </c>
      <c r="M57" s="6">
        <v>220.44</v>
      </c>
      <c r="N57" s="7">
        <v>2502.95</v>
      </c>
      <c r="O57" s="7">
        <v>1511.98</v>
      </c>
      <c r="P57" s="6">
        <v>96.04</v>
      </c>
      <c r="Q57" s="9">
        <v>0</v>
      </c>
      <c r="R57" s="6">
        <v>0</v>
      </c>
      <c r="S57" s="9">
        <v>0</v>
      </c>
      <c r="T57" s="7">
        <v>4110.97</v>
      </c>
      <c r="U57" s="9">
        <v>0</v>
      </c>
      <c r="V57" s="7">
        <v>0</v>
      </c>
      <c r="W57" s="12">
        <f t="shared" si="1"/>
        <v>1179.61</v>
      </c>
    </row>
    <row r="58" ht="13.8" spans="1:23">
      <c r="A58" s="5">
        <v>4416302</v>
      </c>
      <c r="B58" s="6" t="s">
        <v>101</v>
      </c>
      <c r="C58" s="6" t="s">
        <v>102</v>
      </c>
      <c r="D58" s="6">
        <v>88</v>
      </c>
      <c r="E58" s="6">
        <v>129</v>
      </c>
      <c r="F58" s="7">
        <v>3427.4</v>
      </c>
      <c r="G58" s="7">
        <v>5374.08</v>
      </c>
      <c r="H58" s="7">
        <v>3927.4</v>
      </c>
      <c r="I58" s="6">
        <v>0</v>
      </c>
      <c r="J58" s="6">
        <v>0</v>
      </c>
      <c r="K58" s="6">
        <v>50</v>
      </c>
      <c r="L58" s="7">
        <v>12778.88</v>
      </c>
      <c r="M58" s="6">
        <v>511.16</v>
      </c>
      <c r="N58" s="7">
        <v>9352.29</v>
      </c>
      <c r="O58" s="7">
        <v>1641.22</v>
      </c>
      <c r="P58" s="6">
        <v>96.04</v>
      </c>
      <c r="Q58" s="9">
        <v>0</v>
      </c>
      <c r="R58" s="6">
        <v>0</v>
      </c>
      <c r="S58" s="9">
        <v>0</v>
      </c>
      <c r="T58" s="7">
        <v>11089.55</v>
      </c>
      <c r="U58" s="9">
        <v>0</v>
      </c>
      <c r="V58" s="7">
        <v>0</v>
      </c>
      <c r="W58" s="12">
        <f t="shared" si="1"/>
        <v>1178.17</v>
      </c>
    </row>
    <row r="59" ht="13.8" spans="1:23">
      <c r="A59" s="5">
        <v>4034266</v>
      </c>
      <c r="B59" s="6" t="s">
        <v>103</v>
      </c>
      <c r="C59" s="6" t="s">
        <v>104</v>
      </c>
      <c r="D59" s="6">
        <v>37</v>
      </c>
      <c r="E59" s="6">
        <v>54</v>
      </c>
      <c r="F59" s="7">
        <v>1448.4</v>
      </c>
      <c r="G59" s="7">
        <v>2468</v>
      </c>
      <c r="H59" s="7">
        <v>1296.14</v>
      </c>
      <c r="I59" s="7">
        <v>0</v>
      </c>
      <c r="J59" s="7">
        <v>0</v>
      </c>
      <c r="K59" s="6">
        <v>41.67</v>
      </c>
      <c r="L59" s="7">
        <v>5254.21</v>
      </c>
      <c r="M59" s="6">
        <v>210.17</v>
      </c>
      <c r="N59" s="7">
        <v>2396.25</v>
      </c>
      <c r="O59" s="7">
        <v>1380.43</v>
      </c>
      <c r="P59" s="6">
        <v>96.04</v>
      </c>
      <c r="Q59" s="9">
        <v>0</v>
      </c>
      <c r="R59" s="6">
        <v>0</v>
      </c>
      <c r="S59" s="9">
        <v>0</v>
      </c>
      <c r="T59" s="7">
        <v>3872.72</v>
      </c>
      <c r="U59" s="9">
        <v>0</v>
      </c>
      <c r="V59" s="7">
        <v>0</v>
      </c>
      <c r="W59" s="12">
        <f t="shared" si="1"/>
        <v>1171.32</v>
      </c>
    </row>
    <row r="60" ht="13.8" spans="1:23">
      <c r="A60" s="5">
        <v>4314907</v>
      </c>
      <c r="B60" s="6" t="s">
        <v>105</v>
      </c>
      <c r="C60" s="6" t="s">
        <v>63</v>
      </c>
      <c r="D60" s="6">
        <v>115</v>
      </c>
      <c r="E60" s="6">
        <v>162</v>
      </c>
      <c r="F60" s="7">
        <v>4593.6</v>
      </c>
      <c r="G60" s="7">
        <v>7216</v>
      </c>
      <c r="H60" s="7">
        <v>2427.82</v>
      </c>
      <c r="I60" s="6">
        <v>0</v>
      </c>
      <c r="J60" s="7">
        <v>1875</v>
      </c>
      <c r="K60" s="6">
        <v>33.33</v>
      </c>
      <c r="L60" s="7">
        <v>16145.75</v>
      </c>
      <c r="M60" s="7">
        <v>645.83</v>
      </c>
      <c r="N60" s="7">
        <v>15188.81</v>
      </c>
      <c r="O60" s="7">
        <v>1069.99</v>
      </c>
      <c r="P60" s="6">
        <v>96.04</v>
      </c>
      <c r="Q60" s="9">
        <v>0</v>
      </c>
      <c r="R60" s="6">
        <v>0</v>
      </c>
      <c r="S60" s="9">
        <v>0</v>
      </c>
      <c r="T60" s="7">
        <v>16354.84</v>
      </c>
      <c r="U60" s="9">
        <v>0</v>
      </c>
      <c r="V60" s="7">
        <v>2000</v>
      </c>
      <c r="W60" s="12">
        <f t="shared" si="1"/>
        <v>1145.08</v>
      </c>
    </row>
    <row r="61" ht="13.8" spans="1:23">
      <c r="A61" s="5">
        <v>3865535</v>
      </c>
      <c r="B61" s="6" t="s">
        <v>106</v>
      </c>
      <c r="C61" s="10" t="s">
        <v>74</v>
      </c>
      <c r="D61" s="6">
        <v>19</v>
      </c>
      <c r="E61" s="6">
        <v>24</v>
      </c>
      <c r="F61" s="7">
        <v>625.64</v>
      </c>
      <c r="G61" s="7">
        <v>1180.35</v>
      </c>
      <c r="H61" s="7">
        <v>287.1</v>
      </c>
      <c r="I61" s="7">
        <v>312.5</v>
      </c>
      <c r="J61" s="7">
        <v>0</v>
      </c>
      <c r="K61" s="6">
        <v>16.67</v>
      </c>
      <c r="L61" s="7">
        <v>2422.26</v>
      </c>
      <c r="M61" s="6">
        <v>96.89</v>
      </c>
      <c r="N61" s="7">
        <v>1187.26</v>
      </c>
      <c r="O61" s="7">
        <v>0</v>
      </c>
      <c r="P61" s="6">
        <v>0</v>
      </c>
      <c r="Q61" s="9">
        <v>0</v>
      </c>
      <c r="R61" s="7">
        <v>0</v>
      </c>
      <c r="S61" s="9">
        <v>0</v>
      </c>
      <c r="T61" s="7">
        <v>1187.26</v>
      </c>
      <c r="U61" s="9">
        <v>0</v>
      </c>
      <c r="V61" s="7">
        <v>0</v>
      </c>
      <c r="W61" s="12">
        <f t="shared" si="1"/>
        <v>1138.11</v>
      </c>
    </row>
    <row r="62" ht="13.8" spans="1:23">
      <c r="A62" s="2">
        <v>4006281</v>
      </c>
      <c r="B62" s="3" t="s">
        <v>107</v>
      </c>
      <c r="C62" s="3" t="s">
        <v>108</v>
      </c>
      <c r="D62" s="3">
        <v>43</v>
      </c>
      <c r="E62" s="3">
        <v>57</v>
      </c>
      <c r="F62" s="4">
        <v>1774.01</v>
      </c>
      <c r="G62" s="4">
        <v>2617.92</v>
      </c>
      <c r="H62" s="4">
        <v>1526.63</v>
      </c>
      <c r="I62" s="3">
        <v>0</v>
      </c>
      <c r="J62" s="3">
        <v>0</v>
      </c>
      <c r="K62" s="3">
        <v>33.33</v>
      </c>
      <c r="L62" s="4">
        <v>5951.89</v>
      </c>
      <c r="M62" s="3">
        <v>238.08</v>
      </c>
      <c r="N62" s="4">
        <v>3451.56</v>
      </c>
      <c r="O62" s="4">
        <v>1340.77</v>
      </c>
      <c r="P62" s="3">
        <v>96.04</v>
      </c>
      <c r="Q62" s="3">
        <v>0</v>
      </c>
      <c r="R62" s="3">
        <v>0</v>
      </c>
      <c r="S62" s="3">
        <v>0</v>
      </c>
      <c r="T62" s="4">
        <v>4888.37</v>
      </c>
      <c r="U62" s="3">
        <v>0</v>
      </c>
      <c r="V62" s="4">
        <v>200</v>
      </c>
      <c r="W62" s="12">
        <f t="shared" si="1"/>
        <v>1025.44</v>
      </c>
    </row>
    <row r="63" ht="13.8" spans="1:23">
      <c r="A63" s="5">
        <v>4289273</v>
      </c>
      <c r="B63" s="6" t="s">
        <v>109</v>
      </c>
      <c r="C63" s="6" t="s">
        <v>110</v>
      </c>
      <c r="D63" s="6">
        <v>36</v>
      </c>
      <c r="E63" s="6">
        <v>46</v>
      </c>
      <c r="F63" s="7">
        <v>1362.68</v>
      </c>
      <c r="G63" s="7">
        <v>1874.25</v>
      </c>
      <c r="H63" s="7">
        <v>1440.1</v>
      </c>
      <c r="I63" s="7">
        <v>0</v>
      </c>
      <c r="J63" s="7">
        <v>0</v>
      </c>
      <c r="K63" s="6">
        <v>16.67</v>
      </c>
      <c r="L63" s="7">
        <v>4693.7</v>
      </c>
      <c r="M63" s="6">
        <v>187.75</v>
      </c>
      <c r="N63" s="7">
        <v>3229.33</v>
      </c>
      <c r="O63" s="7">
        <v>382.99</v>
      </c>
      <c r="P63" s="6">
        <v>0</v>
      </c>
      <c r="Q63" s="9">
        <v>0</v>
      </c>
      <c r="R63" s="6">
        <v>0</v>
      </c>
      <c r="S63" s="9">
        <v>0</v>
      </c>
      <c r="T63" s="7">
        <v>3612.32</v>
      </c>
      <c r="U63" s="9">
        <v>0</v>
      </c>
      <c r="V63" s="7">
        <v>0</v>
      </c>
      <c r="W63" s="12">
        <f t="shared" si="1"/>
        <v>893.63</v>
      </c>
    </row>
    <row r="64" ht="13.8" spans="1:23">
      <c r="A64" s="5">
        <v>4324727</v>
      </c>
      <c r="B64" s="6" t="s">
        <v>111</v>
      </c>
      <c r="C64" s="6" t="s">
        <v>28</v>
      </c>
      <c r="D64" s="6">
        <v>82</v>
      </c>
      <c r="E64" s="6">
        <v>123</v>
      </c>
      <c r="F64" s="7">
        <v>2725.5</v>
      </c>
      <c r="G64" s="7">
        <v>4578.11</v>
      </c>
      <c r="H64" s="7">
        <v>2042.62</v>
      </c>
      <c r="I64" s="7">
        <v>0</v>
      </c>
      <c r="J64" s="6">
        <v>0</v>
      </c>
      <c r="K64" s="6">
        <v>41.67</v>
      </c>
      <c r="L64" s="7">
        <v>9387.9</v>
      </c>
      <c r="M64" s="6">
        <v>375.52</v>
      </c>
      <c r="N64" s="7">
        <v>7235.98</v>
      </c>
      <c r="O64" s="7">
        <v>805.99</v>
      </c>
      <c r="P64" s="6">
        <v>96.04</v>
      </c>
      <c r="Q64" s="9">
        <v>0</v>
      </c>
      <c r="R64" s="7">
        <v>0</v>
      </c>
      <c r="S64" s="9">
        <v>0</v>
      </c>
      <c r="T64" s="7">
        <v>8138.01</v>
      </c>
      <c r="U64" s="9">
        <v>0</v>
      </c>
      <c r="V64" s="7">
        <v>0</v>
      </c>
      <c r="W64" s="12">
        <f t="shared" si="1"/>
        <v>874.369999999999</v>
      </c>
    </row>
    <row r="65" ht="13.8" spans="1:23">
      <c r="A65" s="5">
        <v>4228837</v>
      </c>
      <c r="B65" s="6" t="s">
        <v>112</v>
      </c>
      <c r="C65" s="6" t="s">
        <v>69</v>
      </c>
      <c r="D65" s="6">
        <v>71</v>
      </c>
      <c r="E65" s="6">
        <v>101</v>
      </c>
      <c r="F65" s="7">
        <v>2777.25</v>
      </c>
      <c r="G65" s="7">
        <v>4843.95</v>
      </c>
      <c r="H65" s="7">
        <v>2176.52</v>
      </c>
      <c r="I65" s="7">
        <v>0</v>
      </c>
      <c r="J65" s="6">
        <v>0</v>
      </c>
      <c r="K65" s="6">
        <v>116.67</v>
      </c>
      <c r="L65" s="7">
        <v>9914.39</v>
      </c>
      <c r="M65" s="6">
        <v>396.58</v>
      </c>
      <c r="N65" s="7">
        <v>9121.1</v>
      </c>
      <c r="O65" s="7">
        <v>435.88</v>
      </c>
      <c r="P65" s="6">
        <v>96.04</v>
      </c>
      <c r="Q65" s="9">
        <v>0</v>
      </c>
      <c r="R65" s="6">
        <v>0</v>
      </c>
      <c r="S65" s="9">
        <v>0</v>
      </c>
      <c r="T65" s="7">
        <v>9653.02</v>
      </c>
      <c r="U65" s="9">
        <v>0</v>
      </c>
      <c r="V65" s="7">
        <v>1000</v>
      </c>
      <c r="W65" s="12">
        <f t="shared" si="1"/>
        <v>864.789999999999</v>
      </c>
    </row>
    <row r="66" ht="13.8" spans="1:23">
      <c r="A66" s="5">
        <v>4368417</v>
      </c>
      <c r="B66" s="6" t="s">
        <v>113</v>
      </c>
      <c r="C66" s="6" t="s">
        <v>34</v>
      </c>
      <c r="D66" s="6">
        <v>15</v>
      </c>
      <c r="E66" s="6">
        <v>18</v>
      </c>
      <c r="F66" s="7">
        <v>557.92</v>
      </c>
      <c r="G66" s="7">
        <v>744.8</v>
      </c>
      <c r="H66" s="7">
        <v>383.25</v>
      </c>
      <c r="I66" s="6">
        <v>0</v>
      </c>
      <c r="J66" s="7">
        <v>0</v>
      </c>
      <c r="K66" s="6">
        <v>0</v>
      </c>
      <c r="L66" s="7">
        <v>1685.97</v>
      </c>
      <c r="M66" s="6">
        <v>67.44</v>
      </c>
      <c r="N66" s="7">
        <v>746.98</v>
      </c>
      <c r="O66" s="7">
        <v>0</v>
      </c>
      <c r="P66" s="6">
        <v>96.04</v>
      </c>
      <c r="Q66" s="13">
        <v>0</v>
      </c>
      <c r="R66" s="6">
        <v>0</v>
      </c>
      <c r="S66" s="13">
        <v>0</v>
      </c>
      <c r="T66" s="7">
        <v>843.02</v>
      </c>
      <c r="U66" s="13">
        <v>0</v>
      </c>
      <c r="V66" s="7">
        <v>0</v>
      </c>
      <c r="W66" s="12">
        <f t="shared" si="1"/>
        <v>775.51</v>
      </c>
    </row>
    <row r="67" ht="13.8" spans="1:23">
      <c r="A67" s="5">
        <v>2445043</v>
      </c>
      <c r="B67" s="6" t="s">
        <v>114</v>
      </c>
      <c r="C67" s="6" t="s">
        <v>57</v>
      </c>
      <c r="D67" s="6">
        <v>17</v>
      </c>
      <c r="E67" s="6">
        <v>23</v>
      </c>
      <c r="F67" s="7">
        <v>631.52</v>
      </c>
      <c r="G67" s="7">
        <v>980.4</v>
      </c>
      <c r="H67" s="7">
        <v>470.18</v>
      </c>
      <c r="I67" s="7">
        <v>0</v>
      </c>
      <c r="J67" s="6">
        <v>0</v>
      </c>
      <c r="K67" s="6">
        <v>25</v>
      </c>
      <c r="L67" s="7">
        <v>2107.1</v>
      </c>
      <c r="M67" s="6">
        <v>84.28</v>
      </c>
      <c r="N67" s="7">
        <v>1247.32</v>
      </c>
      <c r="O67" s="7">
        <v>0</v>
      </c>
      <c r="P67" s="6">
        <v>0</v>
      </c>
      <c r="Q67" s="9">
        <v>0</v>
      </c>
      <c r="R67" s="6">
        <v>0</v>
      </c>
      <c r="S67" s="9">
        <v>0</v>
      </c>
      <c r="T67" s="7">
        <v>1247.32</v>
      </c>
      <c r="U67" s="9">
        <v>0</v>
      </c>
      <c r="V67" s="7">
        <v>0</v>
      </c>
      <c r="W67" s="12">
        <f t="shared" si="1"/>
        <v>775.5</v>
      </c>
    </row>
    <row r="68" ht="13.8" spans="1:23">
      <c r="A68" s="2">
        <v>4302757</v>
      </c>
      <c r="B68" s="3" t="s">
        <v>115</v>
      </c>
      <c r="C68" s="3" t="s">
        <v>24</v>
      </c>
      <c r="D68" s="3">
        <v>7</v>
      </c>
      <c r="E68" s="3">
        <v>11</v>
      </c>
      <c r="F68" s="4">
        <v>325.5</v>
      </c>
      <c r="G68" s="4">
        <v>540.06</v>
      </c>
      <c r="H68" s="4">
        <v>260.85</v>
      </c>
      <c r="I68" s="3">
        <v>0</v>
      </c>
      <c r="J68" s="4">
        <v>0</v>
      </c>
      <c r="K68" s="3">
        <v>58.33</v>
      </c>
      <c r="L68" s="4">
        <v>1184.74</v>
      </c>
      <c r="M68" s="3">
        <v>47.39</v>
      </c>
      <c r="N68" s="4">
        <v>284.72</v>
      </c>
      <c r="O68" s="4">
        <v>0</v>
      </c>
      <c r="P68" s="3">
        <v>96.04</v>
      </c>
      <c r="Q68" s="4">
        <v>0</v>
      </c>
      <c r="R68" s="3">
        <v>0</v>
      </c>
      <c r="S68" s="4">
        <v>0</v>
      </c>
      <c r="T68" s="4">
        <v>380.76</v>
      </c>
      <c r="U68" s="4">
        <v>0</v>
      </c>
      <c r="V68" s="3">
        <v>0</v>
      </c>
      <c r="W68" s="12">
        <f t="shared" si="1"/>
        <v>756.59</v>
      </c>
    </row>
    <row r="69" ht="13.8" spans="1:23">
      <c r="A69" s="2">
        <v>1978206</v>
      </c>
      <c r="B69" s="3" t="s">
        <v>116</v>
      </c>
      <c r="C69" s="3" t="s">
        <v>26</v>
      </c>
      <c r="D69" s="3">
        <v>8</v>
      </c>
      <c r="E69" s="3">
        <v>9</v>
      </c>
      <c r="F69" s="4">
        <v>323.4</v>
      </c>
      <c r="G69" s="4">
        <v>389.5</v>
      </c>
      <c r="H69" s="4">
        <v>132.92</v>
      </c>
      <c r="I69" s="3">
        <v>0</v>
      </c>
      <c r="J69" s="4">
        <v>0</v>
      </c>
      <c r="K69" s="3">
        <v>41.67</v>
      </c>
      <c r="L69" s="4">
        <v>887.49</v>
      </c>
      <c r="M69" s="3">
        <v>35.5</v>
      </c>
      <c r="N69" s="4">
        <v>0</v>
      </c>
      <c r="O69" s="4">
        <v>0</v>
      </c>
      <c r="P69" s="3">
        <v>96.04</v>
      </c>
      <c r="Q69" s="3">
        <v>0</v>
      </c>
      <c r="R69" s="3">
        <v>0</v>
      </c>
      <c r="S69" s="3">
        <v>0</v>
      </c>
      <c r="T69" s="3">
        <v>96.04</v>
      </c>
      <c r="U69" s="3">
        <v>0</v>
      </c>
      <c r="V69" s="3">
        <v>0</v>
      </c>
      <c r="W69" s="12">
        <f t="shared" si="1"/>
        <v>755.95</v>
      </c>
    </row>
    <row r="70" ht="13.8" spans="1:23">
      <c r="A70" s="5">
        <v>4303586</v>
      </c>
      <c r="B70" s="6" t="s">
        <v>117</v>
      </c>
      <c r="C70" s="6" t="s">
        <v>53</v>
      </c>
      <c r="D70" s="6">
        <v>7</v>
      </c>
      <c r="E70" s="6">
        <v>8</v>
      </c>
      <c r="F70" s="7">
        <v>246.33</v>
      </c>
      <c r="G70" s="7">
        <v>306.4</v>
      </c>
      <c r="H70" s="7">
        <v>231.2</v>
      </c>
      <c r="I70" s="6">
        <v>0</v>
      </c>
      <c r="J70" s="7">
        <v>0</v>
      </c>
      <c r="K70" s="6">
        <v>0</v>
      </c>
      <c r="L70" s="7">
        <v>783.93</v>
      </c>
      <c r="M70" s="6">
        <v>31.36</v>
      </c>
      <c r="N70" s="7">
        <v>0</v>
      </c>
      <c r="O70" s="7">
        <v>0</v>
      </c>
      <c r="P70" s="6">
        <v>0</v>
      </c>
      <c r="Q70" s="9">
        <v>0</v>
      </c>
      <c r="R70" s="6">
        <v>0</v>
      </c>
      <c r="S70" s="9">
        <v>0</v>
      </c>
      <c r="T70" s="6">
        <v>0</v>
      </c>
      <c r="U70" s="9">
        <v>0</v>
      </c>
      <c r="V70" s="7">
        <v>0</v>
      </c>
      <c r="W70" s="12">
        <f t="shared" si="1"/>
        <v>752.57</v>
      </c>
    </row>
    <row r="71" ht="13.8" spans="1:23">
      <c r="A71" s="5">
        <v>4231549</v>
      </c>
      <c r="B71" s="6" t="s">
        <v>118</v>
      </c>
      <c r="C71" s="6" t="s">
        <v>104</v>
      </c>
      <c r="D71" s="6">
        <v>50</v>
      </c>
      <c r="E71" s="6">
        <v>76</v>
      </c>
      <c r="F71" s="7">
        <v>1892.1</v>
      </c>
      <c r="G71" s="7">
        <v>3380</v>
      </c>
      <c r="H71" s="7">
        <v>1811.16</v>
      </c>
      <c r="I71" s="7">
        <v>0</v>
      </c>
      <c r="J71" s="7">
        <v>0</v>
      </c>
      <c r="K71" s="6">
        <v>83.33</v>
      </c>
      <c r="L71" s="7">
        <v>7166.59</v>
      </c>
      <c r="M71" s="6">
        <v>286.66</v>
      </c>
      <c r="N71" s="7">
        <v>4869.92</v>
      </c>
      <c r="O71" s="7">
        <v>1209.77</v>
      </c>
      <c r="P71" s="6">
        <v>96.04</v>
      </c>
      <c r="Q71" s="9">
        <v>0</v>
      </c>
      <c r="R71" s="7">
        <v>0</v>
      </c>
      <c r="S71" s="9">
        <v>0</v>
      </c>
      <c r="T71" s="7">
        <v>6175.73</v>
      </c>
      <c r="U71" s="9">
        <v>0</v>
      </c>
      <c r="V71" s="7">
        <v>0</v>
      </c>
      <c r="W71" s="12">
        <f t="shared" si="1"/>
        <v>704.200000000001</v>
      </c>
    </row>
    <row r="72" ht="13.8" spans="1:23">
      <c r="A72" s="5">
        <v>4351113</v>
      </c>
      <c r="B72" s="6" t="s">
        <v>119</v>
      </c>
      <c r="C72" s="6" t="s">
        <v>110</v>
      </c>
      <c r="D72" s="6">
        <v>72</v>
      </c>
      <c r="E72" s="6">
        <v>104</v>
      </c>
      <c r="F72" s="7">
        <v>2521.61</v>
      </c>
      <c r="G72" s="7">
        <v>3913</v>
      </c>
      <c r="H72" s="7">
        <v>2597.68</v>
      </c>
      <c r="I72" s="6">
        <v>0</v>
      </c>
      <c r="J72" s="7">
        <v>0</v>
      </c>
      <c r="K72" s="6">
        <v>25</v>
      </c>
      <c r="L72" s="7">
        <v>9057.29</v>
      </c>
      <c r="M72" s="6">
        <v>362.29</v>
      </c>
      <c r="N72" s="7">
        <v>5463.22</v>
      </c>
      <c r="O72" s="7">
        <v>1057.97</v>
      </c>
      <c r="P72" s="6">
        <v>96.04</v>
      </c>
      <c r="Q72" s="13">
        <v>500</v>
      </c>
      <c r="R72" s="6">
        <v>0</v>
      </c>
      <c r="S72" s="13">
        <v>0</v>
      </c>
      <c r="T72" s="7">
        <v>6617.23</v>
      </c>
      <c r="U72" s="13">
        <v>935</v>
      </c>
      <c r="V72" s="7">
        <v>0</v>
      </c>
      <c r="W72" s="12">
        <f t="shared" si="1"/>
        <v>642.770000000001</v>
      </c>
    </row>
    <row r="73" ht="13.8" spans="1:23">
      <c r="A73" s="5">
        <v>4434919</v>
      </c>
      <c r="B73" s="6" t="s">
        <v>120</v>
      </c>
      <c r="C73" s="6" t="s">
        <v>121</v>
      </c>
      <c r="D73" s="6">
        <v>7</v>
      </c>
      <c r="E73" s="6">
        <v>11</v>
      </c>
      <c r="F73" s="7">
        <v>257.4</v>
      </c>
      <c r="G73" s="7">
        <v>511.6</v>
      </c>
      <c r="H73" s="7">
        <v>315.57</v>
      </c>
      <c r="I73" s="6">
        <v>0</v>
      </c>
      <c r="J73" s="7">
        <v>0</v>
      </c>
      <c r="K73" s="6">
        <v>0</v>
      </c>
      <c r="L73" s="7">
        <v>1084.57</v>
      </c>
      <c r="M73" s="6">
        <v>43.38</v>
      </c>
      <c r="N73" s="7">
        <v>495.98</v>
      </c>
      <c r="O73" s="7">
        <v>0</v>
      </c>
      <c r="P73" s="6">
        <v>0</v>
      </c>
      <c r="Q73" s="9">
        <v>0</v>
      </c>
      <c r="R73" s="6">
        <v>0</v>
      </c>
      <c r="S73" s="9">
        <v>0</v>
      </c>
      <c r="T73" s="6">
        <v>495.98</v>
      </c>
      <c r="U73" s="9">
        <v>0</v>
      </c>
      <c r="V73" s="7">
        <v>0</v>
      </c>
      <c r="W73" s="12">
        <f t="shared" si="1"/>
        <v>545.21</v>
      </c>
    </row>
    <row r="74" ht="13.8" spans="1:23">
      <c r="A74" s="5">
        <v>4431444</v>
      </c>
      <c r="B74" s="6" t="s">
        <v>122</v>
      </c>
      <c r="C74" s="6" t="s">
        <v>63</v>
      </c>
      <c r="D74" s="6">
        <v>43</v>
      </c>
      <c r="E74" s="6">
        <v>68</v>
      </c>
      <c r="F74" s="7">
        <v>1733.4</v>
      </c>
      <c r="G74" s="7">
        <v>3074</v>
      </c>
      <c r="H74" s="7">
        <v>1334.21</v>
      </c>
      <c r="I74" s="7">
        <v>0</v>
      </c>
      <c r="J74" s="7">
        <v>0</v>
      </c>
      <c r="K74" s="6">
        <v>0</v>
      </c>
      <c r="L74" s="7">
        <v>6141.61</v>
      </c>
      <c r="M74" s="6">
        <v>245.66</v>
      </c>
      <c r="N74" s="7">
        <v>4505.84</v>
      </c>
      <c r="O74" s="7">
        <v>371.99</v>
      </c>
      <c r="P74" s="6">
        <v>0</v>
      </c>
      <c r="Q74" s="9">
        <v>0</v>
      </c>
      <c r="R74" s="6">
        <v>0</v>
      </c>
      <c r="S74" s="9">
        <v>2000</v>
      </c>
      <c r="T74" s="7">
        <v>4877.83</v>
      </c>
      <c r="U74" s="9">
        <v>0</v>
      </c>
      <c r="V74" s="7">
        <v>1500</v>
      </c>
      <c r="W74" s="12">
        <f t="shared" si="1"/>
        <v>518.12</v>
      </c>
    </row>
    <row r="75" ht="13.8" spans="1:23">
      <c r="A75" s="5">
        <v>4337751</v>
      </c>
      <c r="B75" s="6" t="s">
        <v>123</v>
      </c>
      <c r="C75" s="6" t="s">
        <v>110</v>
      </c>
      <c r="D75" s="6">
        <v>41</v>
      </c>
      <c r="E75" s="6">
        <v>54</v>
      </c>
      <c r="F75" s="7">
        <v>1442.07</v>
      </c>
      <c r="G75" s="7">
        <v>2076.95</v>
      </c>
      <c r="H75" s="7">
        <v>1356.67</v>
      </c>
      <c r="I75" s="7">
        <v>0</v>
      </c>
      <c r="J75" s="7">
        <v>0</v>
      </c>
      <c r="K75" s="6">
        <v>41.67</v>
      </c>
      <c r="L75" s="7">
        <v>4917.36</v>
      </c>
      <c r="M75" s="6">
        <v>196.69</v>
      </c>
      <c r="N75" s="7">
        <v>3512.74</v>
      </c>
      <c r="O75" s="7">
        <v>616.99</v>
      </c>
      <c r="P75" s="6">
        <v>96.04</v>
      </c>
      <c r="Q75" s="9">
        <v>0</v>
      </c>
      <c r="R75" s="7">
        <v>0</v>
      </c>
      <c r="S75" s="9">
        <v>0</v>
      </c>
      <c r="T75" s="7">
        <v>4225.77</v>
      </c>
      <c r="U75" s="9">
        <v>0</v>
      </c>
      <c r="V75" s="7">
        <v>0</v>
      </c>
      <c r="W75" s="12">
        <f t="shared" si="1"/>
        <v>494.899999999999</v>
      </c>
    </row>
    <row r="76" ht="13.8" spans="1:23">
      <c r="A76" s="5">
        <v>1828845</v>
      </c>
      <c r="B76" s="6" t="s">
        <v>124</v>
      </c>
      <c r="C76" s="6" t="s">
        <v>77</v>
      </c>
      <c r="D76" s="6">
        <v>43</v>
      </c>
      <c r="E76" s="6">
        <v>53</v>
      </c>
      <c r="F76" s="7">
        <v>1486.65</v>
      </c>
      <c r="G76" s="7">
        <v>2060.9</v>
      </c>
      <c r="H76" s="7">
        <v>1305.7</v>
      </c>
      <c r="I76" s="7">
        <v>0</v>
      </c>
      <c r="J76" s="7">
        <v>0</v>
      </c>
      <c r="K76" s="6">
        <v>41.67</v>
      </c>
      <c r="L76" s="7">
        <v>4894.92</v>
      </c>
      <c r="M76" s="6">
        <v>195.8</v>
      </c>
      <c r="N76" s="7">
        <v>4164.26</v>
      </c>
      <c r="O76" s="7">
        <v>0</v>
      </c>
      <c r="P76" s="6">
        <v>96.04</v>
      </c>
      <c r="Q76" s="9">
        <v>0</v>
      </c>
      <c r="R76" s="6">
        <v>0</v>
      </c>
      <c r="S76" s="9">
        <v>0</v>
      </c>
      <c r="T76" s="7">
        <v>4260.3</v>
      </c>
      <c r="U76" s="9">
        <v>0</v>
      </c>
      <c r="V76" s="6">
        <v>0</v>
      </c>
      <c r="W76" s="12">
        <f t="shared" si="1"/>
        <v>438.82</v>
      </c>
    </row>
    <row r="77" ht="13.8" spans="1:23">
      <c r="A77" s="5">
        <v>2160587</v>
      </c>
      <c r="B77" s="6" t="s">
        <v>125</v>
      </c>
      <c r="C77" s="6" t="s">
        <v>44</v>
      </c>
      <c r="D77" s="6">
        <v>9</v>
      </c>
      <c r="E77" s="6">
        <v>17</v>
      </c>
      <c r="F77" s="7">
        <v>390.72</v>
      </c>
      <c r="G77" s="7">
        <v>836.27</v>
      </c>
      <c r="H77" s="7">
        <v>419.24</v>
      </c>
      <c r="I77" s="6">
        <v>0</v>
      </c>
      <c r="J77" s="7">
        <v>0</v>
      </c>
      <c r="K77" s="6">
        <v>16.67</v>
      </c>
      <c r="L77" s="7">
        <v>1662.9</v>
      </c>
      <c r="M77" s="7">
        <v>66.52</v>
      </c>
      <c r="N77" s="7">
        <v>1160.88</v>
      </c>
      <c r="O77" s="7">
        <v>0</v>
      </c>
      <c r="P77" s="6">
        <v>0</v>
      </c>
      <c r="Q77" s="9">
        <v>0</v>
      </c>
      <c r="R77" s="6">
        <v>0</v>
      </c>
      <c r="S77" s="9">
        <v>0</v>
      </c>
      <c r="T77" s="7">
        <v>1160.88</v>
      </c>
      <c r="U77" s="9">
        <v>0</v>
      </c>
      <c r="V77" s="6">
        <v>0</v>
      </c>
      <c r="W77" s="12">
        <f t="shared" si="1"/>
        <v>435.5</v>
      </c>
    </row>
    <row r="78" ht="13.8" spans="1:23">
      <c r="A78" s="2">
        <v>2484909</v>
      </c>
      <c r="B78" s="3" t="s">
        <v>126</v>
      </c>
      <c r="C78" s="3" t="s">
        <v>26</v>
      </c>
      <c r="D78" s="3">
        <v>4</v>
      </c>
      <c r="E78" s="3">
        <v>4</v>
      </c>
      <c r="F78" s="4">
        <v>163.63</v>
      </c>
      <c r="G78" s="4">
        <v>174.25</v>
      </c>
      <c r="H78" s="4">
        <v>86.6</v>
      </c>
      <c r="I78" s="4">
        <v>0</v>
      </c>
      <c r="J78" s="4">
        <v>0</v>
      </c>
      <c r="K78" s="3">
        <v>25</v>
      </c>
      <c r="L78" s="4">
        <v>449.48</v>
      </c>
      <c r="M78" s="3">
        <v>17.98</v>
      </c>
      <c r="N78" s="4">
        <v>0</v>
      </c>
      <c r="O78" s="4">
        <v>0</v>
      </c>
      <c r="P78" s="3">
        <v>0</v>
      </c>
      <c r="Q78" s="4">
        <v>0</v>
      </c>
      <c r="R78" s="3">
        <v>0</v>
      </c>
      <c r="S78" s="4">
        <v>0</v>
      </c>
      <c r="T78" s="4">
        <v>0</v>
      </c>
      <c r="U78" s="4">
        <v>0</v>
      </c>
      <c r="V78" s="4">
        <v>0</v>
      </c>
      <c r="W78" s="12">
        <f t="shared" si="1"/>
        <v>431.5</v>
      </c>
    </row>
    <row r="79" ht="13.8" spans="1:23">
      <c r="A79" s="5">
        <v>2415441</v>
      </c>
      <c r="B79" s="6" t="s">
        <v>127</v>
      </c>
      <c r="C79" s="6" t="s">
        <v>110</v>
      </c>
      <c r="D79" s="6">
        <v>19</v>
      </c>
      <c r="E79" s="6">
        <v>24</v>
      </c>
      <c r="F79" s="7">
        <v>748.17</v>
      </c>
      <c r="G79" s="7">
        <v>1015</v>
      </c>
      <c r="H79" s="7">
        <v>944.53</v>
      </c>
      <c r="I79" s="7">
        <v>0</v>
      </c>
      <c r="J79" s="7">
        <v>0</v>
      </c>
      <c r="K79" s="6">
        <v>25</v>
      </c>
      <c r="L79" s="7">
        <v>2732.7</v>
      </c>
      <c r="M79" s="7">
        <v>109.31</v>
      </c>
      <c r="N79" s="7">
        <v>897.57</v>
      </c>
      <c r="O79" s="7">
        <v>1771.58</v>
      </c>
      <c r="P79" s="6">
        <v>0</v>
      </c>
      <c r="Q79" s="13">
        <v>0</v>
      </c>
      <c r="R79" s="6">
        <v>0</v>
      </c>
      <c r="S79" s="13">
        <v>0</v>
      </c>
      <c r="T79" s="7">
        <v>2669.15</v>
      </c>
      <c r="U79" s="13">
        <v>0</v>
      </c>
      <c r="V79" s="7">
        <v>450</v>
      </c>
      <c r="W79" s="12">
        <f t="shared" si="1"/>
        <v>404.24</v>
      </c>
    </row>
    <row r="80" ht="13.8" spans="1:23">
      <c r="A80" s="5">
        <v>3838419</v>
      </c>
      <c r="B80" s="6" t="s">
        <v>128</v>
      </c>
      <c r="C80" s="10" t="s">
        <v>63</v>
      </c>
      <c r="D80" s="6">
        <v>76</v>
      </c>
      <c r="E80" s="6">
        <v>102</v>
      </c>
      <c r="F80" s="7">
        <v>3088.8</v>
      </c>
      <c r="G80" s="7">
        <v>4564</v>
      </c>
      <c r="H80" s="7">
        <v>2279.92</v>
      </c>
      <c r="I80" s="7">
        <v>0</v>
      </c>
      <c r="J80" s="6">
        <v>0</v>
      </c>
      <c r="K80" s="6">
        <v>83.33</v>
      </c>
      <c r="L80" s="7">
        <v>10016.05</v>
      </c>
      <c r="M80" s="6">
        <v>400.64</v>
      </c>
      <c r="N80" s="7">
        <v>9133.91</v>
      </c>
      <c r="O80" s="7">
        <v>0</v>
      </c>
      <c r="P80" s="6">
        <v>96.04</v>
      </c>
      <c r="Q80" s="13">
        <v>0</v>
      </c>
      <c r="R80" s="6">
        <v>0</v>
      </c>
      <c r="S80" s="13">
        <v>0</v>
      </c>
      <c r="T80" s="7">
        <v>9229.95</v>
      </c>
      <c r="U80" s="13">
        <v>0</v>
      </c>
      <c r="V80" s="7">
        <v>0</v>
      </c>
      <c r="W80" s="12">
        <f t="shared" si="1"/>
        <v>385.459999999999</v>
      </c>
    </row>
    <row r="81" ht="13.8" spans="1:23">
      <c r="A81" s="5">
        <v>4429477</v>
      </c>
      <c r="B81" s="6" t="s">
        <v>129</v>
      </c>
      <c r="C81" s="6" t="s">
        <v>28</v>
      </c>
      <c r="D81" s="6">
        <v>64</v>
      </c>
      <c r="E81" s="6">
        <v>104</v>
      </c>
      <c r="F81" s="7">
        <v>2130</v>
      </c>
      <c r="G81" s="7">
        <v>3877.98</v>
      </c>
      <c r="H81" s="7">
        <v>1560.36</v>
      </c>
      <c r="I81" s="6">
        <v>0</v>
      </c>
      <c r="J81" s="7">
        <v>0</v>
      </c>
      <c r="K81" s="6">
        <v>41.67</v>
      </c>
      <c r="L81" s="7">
        <v>7610.01</v>
      </c>
      <c r="M81" s="6">
        <v>304.4</v>
      </c>
      <c r="N81" s="7">
        <v>6561.32</v>
      </c>
      <c r="O81" s="7">
        <v>270.18</v>
      </c>
      <c r="P81" s="6">
        <v>96.04</v>
      </c>
      <c r="Q81" s="9">
        <v>0</v>
      </c>
      <c r="R81" s="6">
        <v>0</v>
      </c>
      <c r="S81" s="9">
        <v>0</v>
      </c>
      <c r="T81" s="7">
        <v>6927.54</v>
      </c>
      <c r="U81" s="9">
        <v>0</v>
      </c>
      <c r="V81" s="6">
        <v>0</v>
      </c>
      <c r="W81" s="12">
        <f t="shared" si="1"/>
        <v>378.07</v>
      </c>
    </row>
    <row r="82" ht="13.8" spans="1:23">
      <c r="A82" s="5">
        <v>4298472</v>
      </c>
      <c r="B82" s="6" t="s">
        <v>130</v>
      </c>
      <c r="C82" s="6" t="s">
        <v>28</v>
      </c>
      <c r="D82" s="6">
        <v>70</v>
      </c>
      <c r="E82" s="6">
        <v>105</v>
      </c>
      <c r="F82" s="7">
        <v>2305.5</v>
      </c>
      <c r="G82" s="7">
        <v>3882.96</v>
      </c>
      <c r="H82" s="7">
        <v>1899.47</v>
      </c>
      <c r="I82" s="7">
        <v>0</v>
      </c>
      <c r="J82" s="7">
        <v>0</v>
      </c>
      <c r="K82" s="6">
        <v>41.67</v>
      </c>
      <c r="L82" s="7">
        <v>8129.6</v>
      </c>
      <c r="M82" s="6">
        <v>325.18</v>
      </c>
      <c r="N82" s="7">
        <v>3407.13</v>
      </c>
      <c r="O82" s="7">
        <v>3744.91</v>
      </c>
      <c r="P82" s="6">
        <v>96.04</v>
      </c>
      <c r="Q82" s="9">
        <v>0</v>
      </c>
      <c r="R82" s="6">
        <v>201.3</v>
      </c>
      <c r="S82" s="9">
        <v>0</v>
      </c>
      <c r="T82" s="7">
        <v>7449.38</v>
      </c>
      <c r="U82" s="9">
        <v>0</v>
      </c>
      <c r="V82" s="7">
        <v>0</v>
      </c>
      <c r="W82" s="12">
        <f t="shared" si="1"/>
        <v>355.04</v>
      </c>
    </row>
    <row r="83" ht="13.8" spans="1:23">
      <c r="A83" s="5">
        <v>4290109</v>
      </c>
      <c r="B83" s="6" t="s">
        <v>131</v>
      </c>
      <c r="C83" s="6" t="s">
        <v>69</v>
      </c>
      <c r="D83" s="6">
        <v>10</v>
      </c>
      <c r="E83" s="6">
        <v>12</v>
      </c>
      <c r="F83" s="7">
        <v>413</v>
      </c>
      <c r="G83" s="7">
        <v>619.2</v>
      </c>
      <c r="H83" s="7">
        <v>246.83</v>
      </c>
      <c r="I83" s="6">
        <v>0</v>
      </c>
      <c r="J83" s="7">
        <v>0</v>
      </c>
      <c r="K83" s="6">
        <v>0</v>
      </c>
      <c r="L83" s="7">
        <v>1279.03</v>
      </c>
      <c r="M83" s="6">
        <v>51.16</v>
      </c>
      <c r="N83" s="7">
        <v>874.99</v>
      </c>
      <c r="O83" s="7">
        <v>0</v>
      </c>
      <c r="P83" s="6">
        <v>0</v>
      </c>
      <c r="Q83" s="9">
        <v>0</v>
      </c>
      <c r="R83" s="6">
        <v>0</v>
      </c>
      <c r="S83" s="9">
        <v>0</v>
      </c>
      <c r="T83" s="6">
        <v>874.99</v>
      </c>
      <c r="U83" s="9">
        <v>0</v>
      </c>
      <c r="V83" s="6">
        <v>0</v>
      </c>
      <c r="W83" s="12">
        <f t="shared" si="1"/>
        <v>352.88</v>
      </c>
    </row>
    <row r="84" ht="13.8" spans="1:23">
      <c r="A84" s="5">
        <v>1742700</v>
      </c>
      <c r="B84" s="6" t="s">
        <v>132</v>
      </c>
      <c r="C84" s="6" t="s">
        <v>133</v>
      </c>
      <c r="D84" s="6">
        <v>9</v>
      </c>
      <c r="E84" s="6">
        <v>14</v>
      </c>
      <c r="F84" s="7">
        <v>353.98</v>
      </c>
      <c r="G84" s="7">
        <v>634.81</v>
      </c>
      <c r="H84" s="7">
        <v>266.51</v>
      </c>
      <c r="I84" s="7">
        <v>0</v>
      </c>
      <c r="J84" s="7">
        <v>0</v>
      </c>
      <c r="K84" s="6">
        <v>16.67</v>
      </c>
      <c r="L84" s="7">
        <v>1271.97</v>
      </c>
      <c r="M84" s="6">
        <v>50.88</v>
      </c>
      <c r="N84" s="7">
        <v>316.99</v>
      </c>
      <c r="O84" s="7">
        <v>455.59</v>
      </c>
      <c r="P84" s="6">
        <v>96.04</v>
      </c>
      <c r="Q84" s="9">
        <v>0</v>
      </c>
      <c r="R84" s="6">
        <v>0</v>
      </c>
      <c r="S84" s="9">
        <v>0</v>
      </c>
      <c r="T84" s="6">
        <v>868.62</v>
      </c>
      <c r="U84" s="9">
        <v>0</v>
      </c>
      <c r="V84" s="7">
        <v>0</v>
      </c>
      <c r="W84" s="12">
        <f t="shared" si="1"/>
        <v>352.47</v>
      </c>
    </row>
    <row r="85" ht="13.8" spans="1:23">
      <c r="A85" s="5">
        <v>4438046</v>
      </c>
      <c r="B85" s="6" t="s">
        <v>134</v>
      </c>
      <c r="C85" s="6" t="s">
        <v>110</v>
      </c>
      <c r="D85" s="6">
        <v>14</v>
      </c>
      <c r="E85" s="6">
        <v>17</v>
      </c>
      <c r="F85" s="7">
        <v>554.2</v>
      </c>
      <c r="G85" s="7">
        <v>722.75</v>
      </c>
      <c r="H85" s="7">
        <v>653.95</v>
      </c>
      <c r="I85" s="6">
        <v>0</v>
      </c>
      <c r="J85" s="7">
        <v>0</v>
      </c>
      <c r="K85" s="6">
        <v>0</v>
      </c>
      <c r="L85" s="7">
        <v>1930.9</v>
      </c>
      <c r="M85" s="6">
        <v>77.24</v>
      </c>
      <c r="N85" s="7">
        <v>1265.98</v>
      </c>
      <c r="O85" s="7">
        <v>235.99</v>
      </c>
      <c r="P85" s="6">
        <v>0</v>
      </c>
      <c r="Q85" s="9">
        <v>0</v>
      </c>
      <c r="R85" s="6">
        <v>0</v>
      </c>
      <c r="S85" s="9">
        <v>0</v>
      </c>
      <c r="T85" s="7">
        <v>1501.97</v>
      </c>
      <c r="U85" s="9">
        <v>0</v>
      </c>
      <c r="V85" s="7">
        <v>0</v>
      </c>
      <c r="W85" s="12">
        <f t="shared" si="1"/>
        <v>351.69</v>
      </c>
    </row>
    <row r="86" ht="13.8" spans="1:23">
      <c r="A86" s="5">
        <v>4298483</v>
      </c>
      <c r="B86" s="6" t="s">
        <v>135</v>
      </c>
      <c r="C86" s="6" t="s">
        <v>28</v>
      </c>
      <c r="D86" s="6">
        <v>33</v>
      </c>
      <c r="E86" s="6">
        <v>55</v>
      </c>
      <c r="F86" s="7">
        <v>1098</v>
      </c>
      <c r="G86" s="7">
        <v>2035.27</v>
      </c>
      <c r="H86" s="7">
        <v>1119.97</v>
      </c>
      <c r="I86" s="7">
        <v>0</v>
      </c>
      <c r="J86" s="7">
        <v>0</v>
      </c>
      <c r="K86" s="6">
        <v>0</v>
      </c>
      <c r="L86" s="7">
        <v>4253.24</v>
      </c>
      <c r="M86" s="6">
        <v>170.13</v>
      </c>
      <c r="N86" s="7">
        <v>2429.46</v>
      </c>
      <c r="O86" s="7">
        <v>1217.99</v>
      </c>
      <c r="P86" s="6">
        <v>96.04</v>
      </c>
      <c r="Q86" s="13">
        <v>0</v>
      </c>
      <c r="R86" s="6">
        <v>0</v>
      </c>
      <c r="S86" s="13">
        <v>0</v>
      </c>
      <c r="T86" s="7">
        <v>3743.49</v>
      </c>
      <c r="U86" s="13">
        <v>0</v>
      </c>
      <c r="V86" s="7">
        <v>0</v>
      </c>
      <c r="W86" s="12">
        <f t="shared" si="1"/>
        <v>339.62</v>
      </c>
    </row>
    <row r="87" ht="13.8" spans="1:23">
      <c r="A87" s="2">
        <v>3873663</v>
      </c>
      <c r="B87" s="3" t="s">
        <v>136</v>
      </c>
      <c r="C87" s="3" t="s">
        <v>26</v>
      </c>
      <c r="D87" s="3">
        <v>13</v>
      </c>
      <c r="E87" s="3">
        <v>17</v>
      </c>
      <c r="F87" s="4">
        <v>635.25</v>
      </c>
      <c r="G87" s="4">
        <v>881.5</v>
      </c>
      <c r="H87" s="4">
        <v>311.45</v>
      </c>
      <c r="I87" s="4">
        <v>0</v>
      </c>
      <c r="J87" s="4">
        <v>0</v>
      </c>
      <c r="K87" s="3">
        <v>16.67</v>
      </c>
      <c r="L87" s="4">
        <v>1844.87</v>
      </c>
      <c r="M87" s="4">
        <v>73.79</v>
      </c>
      <c r="N87" s="4">
        <v>0</v>
      </c>
      <c r="O87" s="4">
        <v>1492.9</v>
      </c>
      <c r="P87" s="3">
        <v>0</v>
      </c>
      <c r="Q87" s="3">
        <v>0</v>
      </c>
      <c r="R87" s="3">
        <v>0</v>
      </c>
      <c r="S87" s="3">
        <v>0</v>
      </c>
      <c r="T87" s="4">
        <v>1492.9</v>
      </c>
      <c r="U87" s="3">
        <v>0</v>
      </c>
      <c r="V87" s="4">
        <v>0</v>
      </c>
      <c r="W87" s="12">
        <f t="shared" si="1"/>
        <v>278.18</v>
      </c>
    </row>
    <row r="88" ht="13.8" spans="1:23">
      <c r="A88" s="2">
        <v>3791680</v>
      </c>
      <c r="B88" s="3" t="s">
        <v>137</v>
      </c>
      <c r="C88" s="3" t="s">
        <v>69</v>
      </c>
      <c r="D88" s="3">
        <v>14</v>
      </c>
      <c r="E88" s="3">
        <v>16</v>
      </c>
      <c r="F88" s="4">
        <v>617.75</v>
      </c>
      <c r="G88" s="4">
        <v>860</v>
      </c>
      <c r="H88" s="4">
        <v>540.28</v>
      </c>
      <c r="I88" s="3">
        <v>0</v>
      </c>
      <c r="J88" s="4">
        <v>0</v>
      </c>
      <c r="K88" s="3">
        <v>0</v>
      </c>
      <c r="L88" s="4">
        <v>2018.03</v>
      </c>
      <c r="M88" s="3">
        <v>80.72</v>
      </c>
      <c r="N88" s="4">
        <v>1177.93</v>
      </c>
      <c r="O88" s="4">
        <v>0</v>
      </c>
      <c r="P88" s="3">
        <v>0</v>
      </c>
      <c r="Q88" s="3">
        <v>0</v>
      </c>
      <c r="R88" s="3">
        <v>543.42</v>
      </c>
      <c r="S88" s="3">
        <v>0</v>
      </c>
      <c r="T88" s="4">
        <v>1721.35</v>
      </c>
      <c r="U88" s="3">
        <v>0</v>
      </c>
      <c r="V88" s="3">
        <v>0</v>
      </c>
      <c r="W88" s="12">
        <f t="shared" si="1"/>
        <v>215.96</v>
      </c>
    </row>
    <row r="89" ht="13.8" spans="1:23">
      <c r="A89" s="5">
        <v>4378612</v>
      </c>
      <c r="B89" s="6" t="s">
        <v>138</v>
      </c>
      <c r="C89" s="6" t="s">
        <v>121</v>
      </c>
      <c r="D89" s="6">
        <v>31</v>
      </c>
      <c r="E89" s="6">
        <v>36</v>
      </c>
      <c r="F89" s="7">
        <v>970.97</v>
      </c>
      <c r="G89" s="7">
        <v>1423.5</v>
      </c>
      <c r="H89" s="7">
        <v>1052.33</v>
      </c>
      <c r="I89" s="6">
        <v>0</v>
      </c>
      <c r="J89" s="7">
        <v>0</v>
      </c>
      <c r="K89" s="6">
        <v>16.67</v>
      </c>
      <c r="L89" s="7">
        <v>3463.47</v>
      </c>
      <c r="M89" s="6">
        <v>138.54</v>
      </c>
      <c r="N89" s="7">
        <v>1573.57</v>
      </c>
      <c r="O89" s="7">
        <v>1456.01</v>
      </c>
      <c r="P89" s="6">
        <v>96.04</v>
      </c>
      <c r="Q89" s="9">
        <v>0</v>
      </c>
      <c r="R89" s="6">
        <v>0</v>
      </c>
      <c r="S89" s="9">
        <v>0</v>
      </c>
      <c r="T89" s="7">
        <v>3125.62</v>
      </c>
      <c r="U89" s="9">
        <v>0</v>
      </c>
      <c r="V89" s="6">
        <v>0</v>
      </c>
      <c r="W89" s="12">
        <f t="shared" si="1"/>
        <v>199.31</v>
      </c>
    </row>
    <row r="90" ht="13.8" spans="1:23">
      <c r="A90" s="2">
        <v>1385899</v>
      </c>
      <c r="B90" s="3" t="s">
        <v>139</v>
      </c>
      <c r="C90" s="3" t="s">
        <v>108</v>
      </c>
      <c r="D90" s="3">
        <v>43</v>
      </c>
      <c r="E90" s="3">
        <v>62</v>
      </c>
      <c r="F90" s="4">
        <v>1748.42</v>
      </c>
      <c r="G90" s="4">
        <v>2791.64</v>
      </c>
      <c r="H90" s="4">
        <v>1334.56</v>
      </c>
      <c r="I90" s="3">
        <v>0</v>
      </c>
      <c r="J90" s="4">
        <v>0</v>
      </c>
      <c r="K90" s="3">
        <v>16.67</v>
      </c>
      <c r="L90" s="4">
        <v>5891.29</v>
      </c>
      <c r="M90" s="4">
        <v>235.65</v>
      </c>
      <c r="N90" s="4">
        <v>5408.96</v>
      </c>
      <c r="O90" s="4">
        <v>0</v>
      </c>
      <c r="P90" s="3">
        <v>96.04</v>
      </c>
      <c r="Q90" s="3">
        <v>0</v>
      </c>
      <c r="R90" s="3">
        <v>0</v>
      </c>
      <c r="S90" s="3">
        <v>0</v>
      </c>
      <c r="T90" s="4">
        <v>5505</v>
      </c>
      <c r="U90" s="3">
        <v>0</v>
      </c>
      <c r="V90" s="4">
        <v>0</v>
      </c>
      <c r="W90" s="12">
        <f t="shared" si="1"/>
        <v>150.64</v>
      </c>
    </row>
    <row r="91" ht="13.8" spans="1:23">
      <c r="A91" s="5">
        <v>4441057</v>
      </c>
      <c r="B91" s="6" t="s">
        <v>140</v>
      </c>
      <c r="C91" s="6" t="s">
        <v>28</v>
      </c>
      <c r="D91" s="6">
        <v>8</v>
      </c>
      <c r="E91" s="6">
        <v>14</v>
      </c>
      <c r="F91" s="7">
        <v>291</v>
      </c>
      <c r="G91" s="7">
        <v>572.92</v>
      </c>
      <c r="H91" s="7">
        <v>356.83</v>
      </c>
      <c r="I91" s="6">
        <v>0</v>
      </c>
      <c r="J91" s="7">
        <v>0</v>
      </c>
      <c r="K91" s="6">
        <v>16.67</v>
      </c>
      <c r="L91" s="7">
        <v>1237.42</v>
      </c>
      <c r="M91" s="7">
        <v>49.5</v>
      </c>
      <c r="N91" s="7">
        <v>1065.79</v>
      </c>
      <c r="O91" s="7">
        <v>0</v>
      </c>
      <c r="P91" s="6">
        <v>0</v>
      </c>
      <c r="Q91" s="9">
        <v>0</v>
      </c>
      <c r="R91" s="6">
        <v>0</v>
      </c>
      <c r="S91" s="9">
        <v>0</v>
      </c>
      <c r="T91" s="7">
        <v>1065.79</v>
      </c>
      <c r="U91" s="9">
        <v>0</v>
      </c>
      <c r="V91" s="6">
        <v>0</v>
      </c>
      <c r="W91" s="12">
        <f t="shared" si="1"/>
        <v>122.13</v>
      </c>
    </row>
    <row r="92" ht="13.8" spans="1:23">
      <c r="A92" s="5">
        <v>4314386</v>
      </c>
      <c r="B92" s="6" t="s">
        <v>141</v>
      </c>
      <c r="C92" s="10" t="s">
        <v>110</v>
      </c>
      <c r="D92" s="6">
        <v>49</v>
      </c>
      <c r="E92" s="6">
        <v>65</v>
      </c>
      <c r="F92" s="7">
        <v>1744.1</v>
      </c>
      <c r="G92" s="7">
        <v>2479.75</v>
      </c>
      <c r="H92" s="7">
        <v>2056.87</v>
      </c>
      <c r="I92" s="7">
        <v>0</v>
      </c>
      <c r="J92" s="6">
        <v>0</v>
      </c>
      <c r="K92" s="6">
        <v>0</v>
      </c>
      <c r="L92" s="7">
        <v>6280.72</v>
      </c>
      <c r="M92" s="6">
        <v>251.23</v>
      </c>
      <c r="N92" s="7">
        <v>5197.84</v>
      </c>
      <c r="O92" s="7">
        <v>684.99</v>
      </c>
      <c r="P92" s="6">
        <v>96.04</v>
      </c>
      <c r="Q92" s="9">
        <v>0</v>
      </c>
      <c r="R92" s="6">
        <v>0</v>
      </c>
      <c r="S92" s="9">
        <v>0</v>
      </c>
      <c r="T92" s="7">
        <v>5978.87</v>
      </c>
      <c r="U92" s="9">
        <v>0</v>
      </c>
      <c r="V92" s="7">
        <v>50</v>
      </c>
      <c r="W92" s="12">
        <f t="shared" si="1"/>
        <v>100.62</v>
      </c>
    </row>
    <row r="93" ht="13.8" spans="1:23">
      <c r="A93" s="5">
        <v>4348774</v>
      </c>
      <c r="B93" s="6" t="s">
        <v>142</v>
      </c>
      <c r="C93" s="6" t="s">
        <v>143</v>
      </c>
      <c r="D93" s="6">
        <v>74</v>
      </c>
      <c r="E93" s="6">
        <v>83</v>
      </c>
      <c r="F93" s="7">
        <v>1974.08</v>
      </c>
      <c r="G93" s="7">
        <v>2973.86</v>
      </c>
      <c r="H93" s="7">
        <v>1496.45</v>
      </c>
      <c r="I93" s="7">
        <v>0</v>
      </c>
      <c r="J93" s="7">
        <v>0</v>
      </c>
      <c r="K93" s="6">
        <v>41.67</v>
      </c>
      <c r="L93" s="7">
        <v>6486.06</v>
      </c>
      <c r="M93" s="6">
        <v>259.44</v>
      </c>
      <c r="N93" s="7">
        <v>6465.74</v>
      </c>
      <c r="O93" s="7">
        <v>567.19</v>
      </c>
      <c r="P93" s="6">
        <v>96.04</v>
      </c>
      <c r="Q93" s="9">
        <v>0</v>
      </c>
      <c r="R93" s="6">
        <v>0</v>
      </c>
      <c r="S93" s="9">
        <v>0</v>
      </c>
      <c r="T93" s="7">
        <v>7128.97</v>
      </c>
      <c r="U93" s="9">
        <v>0</v>
      </c>
      <c r="V93" s="7">
        <v>1000</v>
      </c>
      <c r="W93" s="12">
        <f t="shared" si="1"/>
        <v>97.6500000000001</v>
      </c>
    </row>
    <row r="94" ht="13.8" spans="1:23">
      <c r="A94" s="2">
        <v>4028443</v>
      </c>
      <c r="B94" s="3" t="s">
        <v>144</v>
      </c>
      <c r="C94" s="3" t="s">
        <v>53</v>
      </c>
      <c r="D94" s="3">
        <v>9</v>
      </c>
      <c r="E94" s="3">
        <v>11</v>
      </c>
      <c r="F94" s="4">
        <v>316.71</v>
      </c>
      <c r="G94" s="4">
        <v>421.3</v>
      </c>
      <c r="H94" s="4">
        <v>163.16</v>
      </c>
      <c r="I94" s="3">
        <v>0</v>
      </c>
      <c r="J94" s="4">
        <v>0</v>
      </c>
      <c r="K94" s="3">
        <v>0</v>
      </c>
      <c r="L94" s="4">
        <v>901.17</v>
      </c>
      <c r="M94" s="3">
        <v>36.05</v>
      </c>
      <c r="N94" s="4">
        <v>0</v>
      </c>
      <c r="O94" s="3">
        <v>690.99</v>
      </c>
      <c r="P94" s="3">
        <v>96.04</v>
      </c>
      <c r="Q94" s="3">
        <v>0</v>
      </c>
      <c r="R94" s="3">
        <v>0</v>
      </c>
      <c r="S94" s="3">
        <v>0</v>
      </c>
      <c r="T94" s="3">
        <v>787.03</v>
      </c>
      <c r="U94" s="3">
        <v>0</v>
      </c>
      <c r="V94" s="3">
        <v>0</v>
      </c>
      <c r="W94" s="12">
        <f t="shared" si="1"/>
        <v>78.09</v>
      </c>
    </row>
    <row r="95" ht="13.8" spans="1:23">
      <c r="A95" s="5">
        <v>4416277</v>
      </c>
      <c r="B95" s="6" t="s">
        <v>145</v>
      </c>
      <c r="C95" s="6" t="s">
        <v>92</v>
      </c>
      <c r="D95" s="6">
        <v>13</v>
      </c>
      <c r="E95" s="6">
        <v>21</v>
      </c>
      <c r="F95" s="7">
        <v>445.2</v>
      </c>
      <c r="G95" s="7">
        <v>892.5</v>
      </c>
      <c r="H95" s="7">
        <v>312.46</v>
      </c>
      <c r="I95" s="7">
        <v>0</v>
      </c>
      <c r="J95" s="6">
        <v>0</v>
      </c>
      <c r="K95" s="6">
        <v>0</v>
      </c>
      <c r="L95" s="7">
        <v>1650.16</v>
      </c>
      <c r="M95" s="6">
        <v>66.01</v>
      </c>
      <c r="N95" s="7">
        <v>0</v>
      </c>
      <c r="O95" s="7">
        <v>1526.98</v>
      </c>
      <c r="P95" s="6">
        <v>0</v>
      </c>
      <c r="Q95" s="13">
        <v>0</v>
      </c>
      <c r="R95" s="6">
        <v>0</v>
      </c>
      <c r="S95" s="13">
        <v>0</v>
      </c>
      <c r="T95" s="7">
        <v>1526.98</v>
      </c>
      <c r="U95" s="13">
        <v>0</v>
      </c>
      <c r="V95" s="7">
        <v>0</v>
      </c>
      <c r="W95" s="12">
        <f t="shared" si="1"/>
        <v>57.1700000000001</v>
      </c>
    </row>
    <row r="96" ht="13.8" spans="1:23">
      <c r="A96" s="2">
        <v>1978205</v>
      </c>
      <c r="B96" s="3" t="s">
        <v>146</v>
      </c>
      <c r="C96" s="3" t="s">
        <v>26</v>
      </c>
      <c r="D96" s="3">
        <v>1</v>
      </c>
      <c r="E96" s="3">
        <v>1</v>
      </c>
      <c r="F96" s="4">
        <v>44.28</v>
      </c>
      <c r="G96" s="4">
        <v>47.15</v>
      </c>
      <c r="H96" s="4">
        <v>28.08</v>
      </c>
      <c r="I96" s="3">
        <v>0</v>
      </c>
      <c r="J96" s="4">
        <v>0</v>
      </c>
      <c r="K96" s="3">
        <v>0</v>
      </c>
      <c r="L96" s="4">
        <v>119.51</v>
      </c>
      <c r="M96" s="4">
        <v>4.78</v>
      </c>
      <c r="N96" s="4">
        <v>0</v>
      </c>
      <c r="O96" s="4">
        <v>0</v>
      </c>
      <c r="P96" s="3">
        <v>96.04</v>
      </c>
      <c r="Q96" s="3">
        <v>0</v>
      </c>
      <c r="R96" s="3">
        <v>0</v>
      </c>
      <c r="S96" s="3">
        <v>0</v>
      </c>
      <c r="T96" s="3">
        <v>96.04</v>
      </c>
      <c r="U96" s="3">
        <v>0</v>
      </c>
      <c r="V96" s="3">
        <v>0</v>
      </c>
      <c r="W96" s="12">
        <f t="shared" si="1"/>
        <v>18.69</v>
      </c>
    </row>
    <row r="97" ht="13.8" spans="1:23">
      <c r="A97" s="5">
        <v>4402384</v>
      </c>
      <c r="B97" s="6" t="s">
        <v>147</v>
      </c>
      <c r="C97" s="6" t="s">
        <v>69</v>
      </c>
      <c r="D97" s="6">
        <v>56</v>
      </c>
      <c r="E97" s="6">
        <v>81</v>
      </c>
      <c r="F97" s="7">
        <v>2381.75</v>
      </c>
      <c r="G97" s="7">
        <v>4171</v>
      </c>
      <c r="H97" s="7">
        <v>2425.45</v>
      </c>
      <c r="I97" s="6">
        <v>0</v>
      </c>
      <c r="J97" s="6">
        <v>0</v>
      </c>
      <c r="K97" s="6">
        <v>133.33</v>
      </c>
      <c r="L97" s="7">
        <v>9111.53</v>
      </c>
      <c r="M97" s="6">
        <v>364.46</v>
      </c>
      <c r="N97" s="7">
        <v>5426.48</v>
      </c>
      <c r="O97" s="7">
        <v>4672.38</v>
      </c>
      <c r="P97" s="6">
        <v>96.04</v>
      </c>
      <c r="Q97" s="13">
        <v>1250</v>
      </c>
      <c r="R97" s="6">
        <v>0</v>
      </c>
      <c r="S97" s="13">
        <v>0</v>
      </c>
      <c r="T97" s="7">
        <v>10194.9</v>
      </c>
      <c r="U97" s="13">
        <v>935</v>
      </c>
      <c r="V97" s="7">
        <v>3650</v>
      </c>
      <c r="W97" s="12">
        <f t="shared" si="1"/>
        <v>17.170000000001</v>
      </c>
    </row>
    <row r="98" ht="13.8" spans="1:23">
      <c r="A98" s="5">
        <v>4324718</v>
      </c>
      <c r="B98" s="6" t="s">
        <v>148</v>
      </c>
      <c r="C98" s="6" t="s">
        <v>63</v>
      </c>
      <c r="D98" s="6">
        <v>48</v>
      </c>
      <c r="E98" s="6">
        <v>69</v>
      </c>
      <c r="F98" s="7">
        <v>1897.2</v>
      </c>
      <c r="G98" s="7">
        <v>3048</v>
      </c>
      <c r="H98" s="7">
        <v>1478.32</v>
      </c>
      <c r="I98" s="6">
        <v>0</v>
      </c>
      <c r="J98" s="7">
        <v>0</v>
      </c>
      <c r="K98" s="6">
        <v>0</v>
      </c>
      <c r="L98" s="7">
        <v>6423.52</v>
      </c>
      <c r="M98" s="6">
        <v>256.94</v>
      </c>
      <c r="N98" s="7">
        <v>4534.15</v>
      </c>
      <c r="O98" s="7">
        <v>1971.99</v>
      </c>
      <c r="P98" s="6">
        <v>96.04</v>
      </c>
      <c r="Q98" s="9">
        <v>0</v>
      </c>
      <c r="R98" s="6">
        <v>0</v>
      </c>
      <c r="S98" s="9">
        <v>0</v>
      </c>
      <c r="T98" s="7">
        <v>6602.18</v>
      </c>
      <c r="U98" s="9">
        <v>0</v>
      </c>
      <c r="V98" s="7">
        <v>400</v>
      </c>
      <c r="W98" s="14">
        <f t="shared" si="1"/>
        <v>-35.5999999999999</v>
      </c>
    </row>
    <row r="99" ht="13.8" spans="1:23">
      <c r="A99" s="5">
        <v>4201684</v>
      </c>
      <c r="B99" s="6" t="s">
        <v>149</v>
      </c>
      <c r="C99" s="6" t="s">
        <v>150</v>
      </c>
      <c r="D99" s="6">
        <v>128</v>
      </c>
      <c r="E99" s="6">
        <v>167</v>
      </c>
      <c r="F99" s="7">
        <v>3846.96</v>
      </c>
      <c r="G99" s="7">
        <v>6406.75</v>
      </c>
      <c r="H99" s="7">
        <v>3030.45</v>
      </c>
      <c r="I99" s="6">
        <v>0</v>
      </c>
      <c r="J99" s="6">
        <v>937.5</v>
      </c>
      <c r="K99" s="6">
        <v>16.67</v>
      </c>
      <c r="L99" s="7">
        <v>14238.33</v>
      </c>
      <c r="M99" s="6">
        <v>569.53</v>
      </c>
      <c r="N99" s="7">
        <v>11028.15</v>
      </c>
      <c r="O99" s="7">
        <v>2657</v>
      </c>
      <c r="P99" s="6">
        <v>96.04</v>
      </c>
      <c r="Q99" s="9">
        <v>0</v>
      </c>
      <c r="R99" s="6">
        <v>0</v>
      </c>
      <c r="S99" s="9">
        <v>0</v>
      </c>
      <c r="T99" s="7">
        <v>13781.19</v>
      </c>
      <c r="U99" s="9">
        <v>0</v>
      </c>
      <c r="V99" s="7">
        <v>0</v>
      </c>
      <c r="W99" s="14">
        <f t="shared" si="1"/>
        <v>-112.390000000001</v>
      </c>
    </row>
    <row r="100" ht="13.8" spans="1:23">
      <c r="A100" s="2">
        <v>4309257</v>
      </c>
      <c r="B100" s="3" t="s">
        <v>151</v>
      </c>
      <c r="C100" s="3" t="s">
        <v>63</v>
      </c>
      <c r="D100" s="3">
        <v>83</v>
      </c>
      <c r="E100" s="3">
        <v>106</v>
      </c>
      <c r="F100" s="4">
        <v>3331.8</v>
      </c>
      <c r="G100" s="4">
        <v>4732</v>
      </c>
      <c r="H100" s="4">
        <v>2023.91</v>
      </c>
      <c r="I100" s="4">
        <v>0</v>
      </c>
      <c r="J100" s="3">
        <v>0</v>
      </c>
      <c r="K100" s="3">
        <v>41.67</v>
      </c>
      <c r="L100" s="4">
        <v>10129.38</v>
      </c>
      <c r="M100" s="3">
        <v>405.18</v>
      </c>
      <c r="N100" s="4">
        <v>8329.98</v>
      </c>
      <c r="O100" s="4">
        <v>0</v>
      </c>
      <c r="P100" s="3">
        <v>96.04</v>
      </c>
      <c r="Q100" s="3">
        <v>500</v>
      </c>
      <c r="R100" s="3">
        <v>0</v>
      </c>
      <c r="S100" s="3">
        <v>0</v>
      </c>
      <c r="T100" s="4">
        <v>8426.02</v>
      </c>
      <c r="U100" s="3">
        <v>935</v>
      </c>
      <c r="V100" s="4">
        <v>0</v>
      </c>
      <c r="W100" s="14">
        <f t="shared" si="1"/>
        <v>-136.820000000001</v>
      </c>
    </row>
    <row r="101" ht="13.8" spans="1:23">
      <c r="A101" s="5">
        <v>4301330</v>
      </c>
      <c r="B101" s="6" t="s">
        <v>152</v>
      </c>
      <c r="C101" s="6" t="s">
        <v>63</v>
      </c>
      <c r="D101" s="6">
        <v>12</v>
      </c>
      <c r="E101" s="6">
        <v>18</v>
      </c>
      <c r="F101" s="7">
        <v>471.6</v>
      </c>
      <c r="G101" s="7">
        <v>780</v>
      </c>
      <c r="H101" s="7">
        <v>378.3</v>
      </c>
      <c r="I101" s="6">
        <v>0</v>
      </c>
      <c r="J101" s="7">
        <v>0</v>
      </c>
      <c r="K101" s="6">
        <v>0</v>
      </c>
      <c r="L101" s="7">
        <v>1629.9</v>
      </c>
      <c r="M101" s="6">
        <v>65.2</v>
      </c>
      <c r="N101" s="7">
        <v>3107.96</v>
      </c>
      <c r="O101" s="7">
        <v>0</v>
      </c>
      <c r="P101" s="6">
        <v>96.04</v>
      </c>
      <c r="Q101" s="9">
        <v>0</v>
      </c>
      <c r="R101" s="6">
        <v>0</v>
      </c>
      <c r="S101" s="9">
        <v>0</v>
      </c>
      <c r="T101" s="7">
        <v>3204</v>
      </c>
      <c r="U101" s="9">
        <v>0</v>
      </c>
      <c r="V101" s="7">
        <v>1500</v>
      </c>
      <c r="W101" s="14">
        <f t="shared" si="1"/>
        <v>-139.3</v>
      </c>
    </row>
    <row r="102" ht="13.8" spans="1:23">
      <c r="A102" s="5">
        <v>4312527</v>
      </c>
      <c r="B102" s="6" t="s">
        <v>153</v>
      </c>
      <c r="C102" s="6" t="s">
        <v>154</v>
      </c>
      <c r="D102" s="6">
        <v>54</v>
      </c>
      <c r="E102" s="6">
        <v>77</v>
      </c>
      <c r="F102" s="7">
        <v>1624.92</v>
      </c>
      <c r="G102" s="7">
        <v>2622.48</v>
      </c>
      <c r="H102" s="7">
        <v>1233.9</v>
      </c>
      <c r="I102" s="6">
        <v>0</v>
      </c>
      <c r="J102" s="6">
        <v>0</v>
      </c>
      <c r="K102" s="6">
        <v>16.67</v>
      </c>
      <c r="L102" s="7">
        <v>5497.97</v>
      </c>
      <c r="M102" s="6">
        <v>219.92</v>
      </c>
      <c r="N102" s="7">
        <v>4570.97</v>
      </c>
      <c r="O102" s="7">
        <v>1454.99</v>
      </c>
      <c r="P102" s="6">
        <v>96.04</v>
      </c>
      <c r="Q102" s="9">
        <v>0</v>
      </c>
      <c r="R102" s="6">
        <v>0</v>
      </c>
      <c r="S102" s="9">
        <v>0</v>
      </c>
      <c r="T102" s="7">
        <v>6122</v>
      </c>
      <c r="U102" s="9">
        <v>0</v>
      </c>
      <c r="V102" s="7">
        <v>700</v>
      </c>
      <c r="W102" s="14">
        <f t="shared" si="1"/>
        <v>-143.95</v>
      </c>
    </row>
    <row r="103" ht="13.8" spans="1:23">
      <c r="A103" s="5">
        <v>4379783</v>
      </c>
      <c r="B103" s="6" t="s">
        <v>155</v>
      </c>
      <c r="C103" s="6" t="s">
        <v>77</v>
      </c>
      <c r="D103" s="6">
        <v>10</v>
      </c>
      <c r="E103" s="6">
        <v>13</v>
      </c>
      <c r="F103" s="7">
        <v>402.6</v>
      </c>
      <c r="G103" s="7">
        <v>586.45</v>
      </c>
      <c r="H103" s="7">
        <v>483.96</v>
      </c>
      <c r="I103" s="6">
        <v>0</v>
      </c>
      <c r="J103" s="7">
        <v>0</v>
      </c>
      <c r="K103" s="6">
        <v>16.67</v>
      </c>
      <c r="L103" s="7">
        <v>1489.68</v>
      </c>
      <c r="M103" s="6">
        <v>59.59</v>
      </c>
      <c r="N103" s="7">
        <v>404.99</v>
      </c>
      <c r="O103" s="7">
        <v>1170.99</v>
      </c>
      <c r="P103" s="6">
        <v>0</v>
      </c>
      <c r="Q103" s="9">
        <v>0</v>
      </c>
      <c r="R103" s="6">
        <v>0</v>
      </c>
      <c r="S103" s="9">
        <v>0</v>
      </c>
      <c r="T103" s="7">
        <v>1575.98</v>
      </c>
      <c r="U103" s="9">
        <v>0</v>
      </c>
      <c r="V103" s="6">
        <v>0</v>
      </c>
      <c r="W103" s="14">
        <f t="shared" si="1"/>
        <v>-145.89</v>
      </c>
    </row>
    <row r="104" ht="13.8" spans="1:23">
      <c r="A104" s="2">
        <v>4379374</v>
      </c>
      <c r="B104" s="3" t="s">
        <v>156</v>
      </c>
      <c r="C104" s="3" t="s">
        <v>69</v>
      </c>
      <c r="D104" s="3">
        <v>106</v>
      </c>
      <c r="E104" s="3">
        <v>140</v>
      </c>
      <c r="F104" s="4">
        <v>4208.75</v>
      </c>
      <c r="G104" s="4">
        <v>6837</v>
      </c>
      <c r="H104" s="4">
        <v>3370.95</v>
      </c>
      <c r="I104" s="3">
        <v>0</v>
      </c>
      <c r="J104" s="4">
        <v>0</v>
      </c>
      <c r="K104" s="3">
        <v>83.33</v>
      </c>
      <c r="L104" s="4">
        <v>14500.03</v>
      </c>
      <c r="M104" s="3">
        <v>580</v>
      </c>
      <c r="N104" s="4">
        <v>11679.05</v>
      </c>
      <c r="O104" s="4">
        <v>7299.89</v>
      </c>
      <c r="P104" s="3">
        <v>96.04</v>
      </c>
      <c r="Q104" s="3">
        <v>0</v>
      </c>
      <c r="R104" s="3">
        <v>0</v>
      </c>
      <c r="S104" s="3">
        <v>0</v>
      </c>
      <c r="T104" s="4">
        <v>19074.98</v>
      </c>
      <c r="U104" s="3">
        <v>0</v>
      </c>
      <c r="V104" s="4">
        <v>5000</v>
      </c>
      <c r="W104" s="14">
        <f t="shared" si="1"/>
        <v>-154.949999999999</v>
      </c>
    </row>
    <row r="105" customHeight="1" spans="1:23">
      <c r="A105" s="5">
        <v>1637358</v>
      </c>
      <c r="B105" s="6" t="s">
        <v>157</v>
      </c>
      <c r="C105" s="6" t="s">
        <v>108</v>
      </c>
      <c r="D105" s="6">
        <v>68</v>
      </c>
      <c r="E105" s="6">
        <v>107</v>
      </c>
      <c r="F105" s="7">
        <v>2710.26</v>
      </c>
      <c r="G105" s="7">
        <v>4728.82</v>
      </c>
      <c r="H105" s="7">
        <v>1993.17</v>
      </c>
      <c r="I105" s="6">
        <v>0</v>
      </c>
      <c r="J105" s="7">
        <v>0</v>
      </c>
      <c r="K105" s="6">
        <v>133.33</v>
      </c>
      <c r="L105" s="7">
        <v>9565.58</v>
      </c>
      <c r="M105" s="6">
        <v>382.62</v>
      </c>
      <c r="N105" s="7">
        <v>8322.58</v>
      </c>
      <c r="O105" s="7">
        <v>923.22</v>
      </c>
      <c r="P105" s="6">
        <v>96.04</v>
      </c>
      <c r="Q105" s="13">
        <v>0</v>
      </c>
      <c r="R105" s="6">
        <v>0</v>
      </c>
      <c r="S105" s="13">
        <v>0</v>
      </c>
      <c r="T105" s="7">
        <v>9341.84</v>
      </c>
      <c r="U105" s="13">
        <v>0</v>
      </c>
      <c r="V105" s="7">
        <v>0</v>
      </c>
      <c r="W105" s="14">
        <f t="shared" si="1"/>
        <v>-158.88</v>
      </c>
    </row>
    <row r="106" ht="15" customHeight="1" spans="1:23">
      <c r="A106" s="5">
        <v>611567</v>
      </c>
      <c r="B106" s="6" t="s">
        <v>158</v>
      </c>
      <c r="C106" s="6" t="s">
        <v>121</v>
      </c>
      <c r="D106" s="6">
        <v>19</v>
      </c>
      <c r="E106" s="6">
        <v>24</v>
      </c>
      <c r="F106" s="7">
        <v>564.85</v>
      </c>
      <c r="G106" s="7">
        <v>899.33</v>
      </c>
      <c r="H106" s="7">
        <v>523.87</v>
      </c>
      <c r="I106" s="6">
        <v>0</v>
      </c>
      <c r="J106" s="7">
        <v>0</v>
      </c>
      <c r="K106" s="6">
        <v>0</v>
      </c>
      <c r="L106" s="7">
        <v>1988.05</v>
      </c>
      <c r="M106" s="6">
        <v>79.52</v>
      </c>
      <c r="N106" s="7">
        <v>1437.96</v>
      </c>
      <c r="O106" s="6">
        <v>555.98</v>
      </c>
      <c r="P106" s="6">
        <v>96.04</v>
      </c>
      <c r="Q106" s="9">
        <v>0</v>
      </c>
      <c r="R106" s="6">
        <v>0</v>
      </c>
      <c r="S106" s="9">
        <v>0</v>
      </c>
      <c r="T106" s="7">
        <v>2089.98</v>
      </c>
      <c r="U106" s="9">
        <v>0</v>
      </c>
      <c r="V106" s="6">
        <v>0</v>
      </c>
      <c r="W106" s="14">
        <f t="shared" si="1"/>
        <v>-181.45</v>
      </c>
    </row>
    <row r="107" ht="13.8" spans="1:23">
      <c r="A107" s="5">
        <v>2263296</v>
      </c>
      <c r="B107" s="6" t="s">
        <v>159</v>
      </c>
      <c r="C107" s="6" t="s">
        <v>63</v>
      </c>
      <c r="D107" s="6">
        <v>62</v>
      </c>
      <c r="E107" s="6">
        <v>85</v>
      </c>
      <c r="F107" s="7">
        <v>2451.6</v>
      </c>
      <c r="G107" s="7">
        <v>3744</v>
      </c>
      <c r="H107" s="7">
        <v>1774.46</v>
      </c>
      <c r="I107" s="6">
        <v>0</v>
      </c>
      <c r="J107" s="6">
        <v>0</v>
      </c>
      <c r="K107" s="6">
        <v>25</v>
      </c>
      <c r="L107" s="7">
        <v>7995.06</v>
      </c>
      <c r="M107" s="6">
        <v>319.8</v>
      </c>
      <c r="N107" s="7">
        <v>7891.11</v>
      </c>
      <c r="O107" s="7">
        <v>0</v>
      </c>
      <c r="P107" s="6">
        <v>0</v>
      </c>
      <c r="Q107" s="9">
        <v>0</v>
      </c>
      <c r="R107" s="6">
        <v>0</v>
      </c>
      <c r="S107" s="9">
        <v>0</v>
      </c>
      <c r="T107" s="7">
        <v>7891.11</v>
      </c>
      <c r="U107" s="9">
        <v>0</v>
      </c>
      <c r="V107" s="7">
        <v>0</v>
      </c>
      <c r="W107" s="14">
        <f t="shared" si="1"/>
        <v>-215.849999999999</v>
      </c>
    </row>
    <row r="108" ht="13.8" spans="1:23">
      <c r="A108" s="5">
        <v>2371481</v>
      </c>
      <c r="B108" s="6" t="s">
        <v>160</v>
      </c>
      <c r="C108" s="6" t="s">
        <v>150</v>
      </c>
      <c r="D108" s="6">
        <v>82</v>
      </c>
      <c r="E108" s="6">
        <v>101</v>
      </c>
      <c r="F108" s="7">
        <v>2520.8</v>
      </c>
      <c r="G108" s="7">
        <v>3984.75</v>
      </c>
      <c r="H108" s="7">
        <v>1755.34</v>
      </c>
      <c r="I108" s="6">
        <v>0</v>
      </c>
      <c r="J108" s="7">
        <v>0</v>
      </c>
      <c r="K108" s="6">
        <v>25</v>
      </c>
      <c r="L108" s="7">
        <v>8285.89</v>
      </c>
      <c r="M108" s="6">
        <v>331.44</v>
      </c>
      <c r="N108" s="7">
        <v>8157.97</v>
      </c>
      <c r="O108" s="7">
        <v>1481.99</v>
      </c>
      <c r="P108" s="6">
        <v>96.04</v>
      </c>
      <c r="Q108" s="9">
        <v>0</v>
      </c>
      <c r="R108" s="6">
        <v>0</v>
      </c>
      <c r="S108" s="9">
        <v>0</v>
      </c>
      <c r="T108" s="7">
        <v>9736</v>
      </c>
      <c r="U108" s="9">
        <v>0</v>
      </c>
      <c r="V108" s="7">
        <v>1550</v>
      </c>
      <c r="W108" s="14">
        <f t="shared" si="1"/>
        <v>-231.550000000001</v>
      </c>
    </row>
    <row r="109" ht="13.8" spans="1:23">
      <c r="A109" s="2">
        <v>4362086</v>
      </c>
      <c r="B109" s="3" t="s">
        <v>161</v>
      </c>
      <c r="C109" s="3" t="s">
        <v>24</v>
      </c>
      <c r="D109" s="3">
        <v>48</v>
      </c>
      <c r="E109" s="3">
        <v>73</v>
      </c>
      <c r="F109" s="4">
        <v>2221.8</v>
      </c>
      <c r="G109" s="4">
        <v>3601.18</v>
      </c>
      <c r="H109" s="4">
        <v>1580.41</v>
      </c>
      <c r="I109" s="3">
        <v>0</v>
      </c>
      <c r="J109" s="3">
        <v>0</v>
      </c>
      <c r="K109" s="3">
        <v>50</v>
      </c>
      <c r="L109" s="4">
        <v>7453.39</v>
      </c>
      <c r="M109" s="3">
        <v>298.14</v>
      </c>
      <c r="N109" s="4">
        <v>4107.82</v>
      </c>
      <c r="O109" s="4">
        <v>1051.79</v>
      </c>
      <c r="P109" s="3">
        <v>96.04</v>
      </c>
      <c r="Q109" s="3">
        <v>1250</v>
      </c>
      <c r="R109" s="3">
        <v>0</v>
      </c>
      <c r="S109" s="3">
        <v>0</v>
      </c>
      <c r="T109" s="4">
        <v>5255.65</v>
      </c>
      <c r="U109" s="3">
        <v>935</v>
      </c>
      <c r="V109" s="4">
        <v>0</v>
      </c>
      <c r="W109" s="14">
        <f t="shared" si="1"/>
        <v>-285.399999999999</v>
      </c>
    </row>
    <row r="110" ht="13.8" spans="1:23">
      <c r="A110" s="5">
        <v>4260639</v>
      </c>
      <c r="B110" s="6" t="s">
        <v>162</v>
      </c>
      <c r="C110" s="6" t="s">
        <v>28</v>
      </c>
      <c r="D110" s="6">
        <v>6</v>
      </c>
      <c r="E110" s="6">
        <v>8</v>
      </c>
      <c r="F110" s="7">
        <v>189</v>
      </c>
      <c r="G110" s="7">
        <v>278.06</v>
      </c>
      <c r="H110" s="7">
        <v>116.17</v>
      </c>
      <c r="I110" s="6">
        <v>0</v>
      </c>
      <c r="J110" s="7">
        <v>0</v>
      </c>
      <c r="K110" s="6">
        <v>0</v>
      </c>
      <c r="L110" s="7">
        <v>583.23</v>
      </c>
      <c r="M110" s="7">
        <v>23.33</v>
      </c>
      <c r="N110" s="7">
        <v>757.99</v>
      </c>
      <c r="O110" s="7">
        <v>0</v>
      </c>
      <c r="P110" s="6">
        <v>96.04</v>
      </c>
      <c r="Q110" s="9">
        <v>0</v>
      </c>
      <c r="R110" s="6">
        <v>0</v>
      </c>
      <c r="S110" s="9">
        <v>0</v>
      </c>
      <c r="T110" s="6">
        <v>854.03</v>
      </c>
      <c r="U110" s="9">
        <v>0</v>
      </c>
      <c r="V110" s="6">
        <v>0</v>
      </c>
      <c r="W110" s="14">
        <f t="shared" si="1"/>
        <v>-294.13</v>
      </c>
    </row>
    <row r="111" ht="13.8" spans="1:23">
      <c r="A111" s="2">
        <v>4415608</v>
      </c>
      <c r="B111" s="3" t="s">
        <v>163</v>
      </c>
      <c r="C111" s="3" t="s">
        <v>108</v>
      </c>
      <c r="D111" s="3">
        <v>104</v>
      </c>
      <c r="E111" s="3">
        <v>132</v>
      </c>
      <c r="F111" s="4">
        <v>4214.14</v>
      </c>
      <c r="G111" s="4">
        <v>5904.46</v>
      </c>
      <c r="H111" s="4">
        <v>2944.02</v>
      </c>
      <c r="I111" s="4">
        <v>0</v>
      </c>
      <c r="J111" s="4">
        <v>0</v>
      </c>
      <c r="K111" s="3">
        <v>150</v>
      </c>
      <c r="L111" s="4">
        <v>13212.62</v>
      </c>
      <c r="M111" s="3">
        <v>528.5</v>
      </c>
      <c r="N111" s="4">
        <v>7268.78</v>
      </c>
      <c r="O111" s="4">
        <v>5615.68</v>
      </c>
      <c r="P111" s="3">
        <v>96.04</v>
      </c>
      <c r="Q111" s="3">
        <v>0</v>
      </c>
      <c r="R111" s="3">
        <v>0</v>
      </c>
      <c r="S111" s="3">
        <v>0</v>
      </c>
      <c r="T111" s="4">
        <v>12980.5</v>
      </c>
      <c r="U111" s="3">
        <v>0</v>
      </c>
      <c r="V111" s="4">
        <v>0</v>
      </c>
      <c r="W111" s="14">
        <f t="shared" si="1"/>
        <v>-296.379999999999</v>
      </c>
    </row>
    <row r="112" ht="13.8" spans="1:23">
      <c r="A112" s="5">
        <v>4317148</v>
      </c>
      <c r="B112" s="6" t="s">
        <v>164</v>
      </c>
      <c r="C112" s="6" t="s">
        <v>165</v>
      </c>
      <c r="D112" s="6">
        <v>52</v>
      </c>
      <c r="E112" s="6">
        <v>62</v>
      </c>
      <c r="F112" s="7">
        <v>1491.92</v>
      </c>
      <c r="G112" s="7">
        <v>2436.6</v>
      </c>
      <c r="H112" s="7">
        <v>1389.48</v>
      </c>
      <c r="I112" s="6">
        <v>0</v>
      </c>
      <c r="J112" s="7">
        <v>0</v>
      </c>
      <c r="K112" s="6">
        <v>125</v>
      </c>
      <c r="L112" s="7">
        <v>5443</v>
      </c>
      <c r="M112" s="6">
        <v>217.72</v>
      </c>
      <c r="N112" s="7">
        <v>2946.46</v>
      </c>
      <c r="O112" s="7">
        <v>3879.45</v>
      </c>
      <c r="P112" s="6">
        <v>96.04</v>
      </c>
      <c r="Q112" s="9">
        <v>0</v>
      </c>
      <c r="R112" s="6">
        <v>0</v>
      </c>
      <c r="S112" s="9">
        <v>0</v>
      </c>
      <c r="T112" s="7">
        <v>6921.95</v>
      </c>
      <c r="U112" s="9">
        <v>0</v>
      </c>
      <c r="V112" s="7">
        <v>1400</v>
      </c>
      <c r="W112" s="14">
        <f t="shared" si="1"/>
        <v>-296.67</v>
      </c>
    </row>
    <row r="113" ht="13.8" spans="1:23">
      <c r="A113" s="5">
        <v>1985196</v>
      </c>
      <c r="B113" s="6" t="s">
        <v>166</v>
      </c>
      <c r="C113" s="6" t="s">
        <v>167</v>
      </c>
      <c r="D113" s="6">
        <v>123</v>
      </c>
      <c r="E113" s="6">
        <v>171</v>
      </c>
      <c r="F113" s="7">
        <v>3570.75</v>
      </c>
      <c r="G113" s="7">
        <v>5918.4</v>
      </c>
      <c r="H113" s="7">
        <v>3339.03</v>
      </c>
      <c r="I113" s="7">
        <v>0</v>
      </c>
      <c r="J113" s="7">
        <v>937.5</v>
      </c>
      <c r="K113" s="6">
        <v>454.17</v>
      </c>
      <c r="L113" s="7">
        <v>14219.85</v>
      </c>
      <c r="M113" s="6">
        <v>568.79</v>
      </c>
      <c r="N113" s="7">
        <v>3558.04</v>
      </c>
      <c r="O113" s="7">
        <v>10305.65</v>
      </c>
      <c r="P113" s="6">
        <v>96.04</v>
      </c>
      <c r="Q113" s="13">
        <v>0</v>
      </c>
      <c r="R113" s="7">
        <v>0</v>
      </c>
      <c r="S113" s="13">
        <v>0</v>
      </c>
      <c r="T113" s="7">
        <v>13959.73</v>
      </c>
      <c r="U113" s="13">
        <v>0</v>
      </c>
      <c r="V113" s="7">
        <v>0</v>
      </c>
      <c r="W113" s="14">
        <f t="shared" si="1"/>
        <v>-308.669999999999</v>
      </c>
    </row>
    <row r="114" ht="13.8" spans="1:23">
      <c r="A114" s="5">
        <v>4333527</v>
      </c>
      <c r="B114" s="6" t="s">
        <v>168</v>
      </c>
      <c r="C114" s="6" t="s">
        <v>63</v>
      </c>
      <c r="D114" s="6">
        <v>41</v>
      </c>
      <c r="E114" s="6">
        <v>58</v>
      </c>
      <c r="F114" s="7">
        <v>1629</v>
      </c>
      <c r="G114" s="7">
        <v>2578</v>
      </c>
      <c r="H114" s="7">
        <v>1313.97</v>
      </c>
      <c r="I114" s="7">
        <v>0</v>
      </c>
      <c r="J114" s="7">
        <v>0</v>
      </c>
      <c r="K114" s="6">
        <v>0</v>
      </c>
      <c r="L114" s="7">
        <v>5520.97</v>
      </c>
      <c r="M114" s="6">
        <v>220.84</v>
      </c>
      <c r="N114" s="7">
        <v>5642.46</v>
      </c>
      <c r="O114" s="7">
        <v>0</v>
      </c>
      <c r="P114" s="6">
        <v>96.04</v>
      </c>
      <c r="Q114" s="9">
        <v>0</v>
      </c>
      <c r="R114" s="6">
        <v>0</v>
      </c>
      <c r="S114" s="9">
        <v>0</v>
      </c>
      <c r="T114" s="7">
        <v>5738.5</v>
      </c>
      <c r="U114" s="9">
        <v>0</v>
      </c>
      <c r="V114" s="7">
        <v>0</v>
      </c>
      <c r="W114" s="14">
        <f t="shared" si="1"/>
        <v>-438.37</v>
      </c>
    </row>
    <row r="115" ht="13.8" spans="1:23">
      <c r="A115" s="5">
        <v>4401156</v>
      </c>
      <c r="B115" s="6" t="s">
        <v>169</v>
      </c>
      <c r="C115" s="6" t="s">
        <v>28</v>
      </c>
      <c r="D115" s="6">
        <v>22</v>
      </c>
      <c r="E115" s="6">
        <v>37</v>
      </c>
      <c r="F115" s="7">
        <v>703.5</v>
      </c>
      <c r="G115" s="7">
        <v>1330.03</v>
      </c>
      <c r="H115" s="7">
        <v>487.21</v>
      </c>
      <c r="I115" s="6">
        <v>0</v>
      </c>
      <c r="J115" s="7">
        <v>0</v>
      </c>
      <c r="K115" s="6">
        <v>75</v>
      </c>
      <c r="L115" s="7">
        <v>2595.74</v>
      </c>
      <c r="M115" s="6">
        <v>103.83</v>
      </c>
      <c r="N115" s="7">
        <v>749.99</v>
      </c>
      <c r="O115" s="7">
        <v>2102.98</v>
      </c>
      <c r="P115" s="6">
        <v>96.04</v>
      </c>
      <c r="Q115" s="9">
        <v>0</v>
      </c>
      <c r="R115" s="6">
        <v>0</v>
      </c>
      <c r="S115" s="9">
        <v>0</v>
      </c>
      <c r="T115" s="7">
        <v>2949.01</v>
      </c>
      <c r="U115" s="9">
        <v>0</v>
      </c>
      <c r="V115" s="6">
        <v>0</v>
      </c>
      <c r="W115" s="14">
        <f t="shared" si="1"/>
        <v>-457.1</v>
      </c>
    </row>
    <row r="116" ht="13.8" spans="1:23">
      <c r="A116" s="5">
        <v>4397330</v>
      </c>
      <c r="B116" s="9" t="s">
        <v>170</v>
      </c>
      <c r="C116" s="6" t="s">
        <v>69</v>
      </c>
      <c r="D116" s="6">
        <v>76</v>
      </c>
      <c r="E116" s="6">
        <v>106</v>
      </c>
      <c r="F116" s="7">
        <v>2905</v>
      </c>
      <c r="G116" s="7">
        <v>5003.05</v>
      </c>
      <c r="H116" s="7">
        <v>2014.19</v>
      </c>
      <c r="I116" s="6">
        <v>0</v>
      </c>
      <c r="J116" s="7">
        <v>0</v>
      </c>
      <c r="K116" s="6">
        <v>50</v>
      </c>
      <c r="L116" s="7">
        <v>9972.24</v>
      </c>
      <c r="M116" s="6">
        <v>398.89</v>
      </c>
      <c r="N116" s="7">
        <v>6793.23</v>
      </c>
      <c r="O116" s="7">
        <v>1756.87</v>
      </c>
      <c r="P116" s="6">
        <v>96.04</v>
      </c>
      <c r="Q116" s="9">
        <v>500</v>
      </c>
      <c r="R116" s="6">
        <v>0</v>
      </c>
      <c r="S116" s="9">
        <v>0</v>
      </c>
      <c r="T116" s="7">
        <v>8646.14</v>
      </c>
      <c r="U116" s="9">
        <v>935</v>
      </c>
      <c r="V116" s="7">
        <v>0</v>
      </c>
      <c r="W116" s="14">
        <f t="shared" si="1"/>
        <v>-507.79</v>
      </c>
    </row>
    <row r="117" ht="13.8" spans="1:23">
      <c r="A117" s="5">
        <v>4305068</v>
      </c>
      <c r="B117" s="6" t="s">
        <v>171</v>
      </c>
      <c r="C117" s="6" t="s">
        <v>92</v>
      </c>
      <c r="D117" s="6">
        <v>101</v>
      </c>
      <c r="E117" s="6">
        <v>135</v>
      </c>
      <c r="F117" s="7">
        <v>3239.6</v>
      </c>
      <c r="G117" s="7">
        <v>5446</v>
      </c>
      <c r="H117" s="7">
        <v>2831.49</v>
      </c>
      <c r="I117" s="7">
        <v>0</v>
      </c>
      <c r="J117" s="6">
        <v>0</v>
      </c>
      <c r="K117" s="6">
        <v>166.67</v>
      </c>
      <c r="L117" s="7">
        <v>11683.76</v>
      </c>
      <c r="M117" s="6">
        <v>467.35</v>
      </c>
      <c r="N117" s="7">
        <v>8399.81</v>
      </c>
      <c r="O117" s="7">
        <v>3256.96</v>
      </c>
      <c r="P117" s="6">
        <v>96.04</v>
      </c>
      <c r="Q117" s="9">
        <v>0</v>
      </c>
      <c r="R117" s="6">
        <v>0</v>
      </c>
      <c r="S117" s="9">
        <v>0</v>
      </c>
      <c r="T117" s="7">
        <v>11752.81</v>
      </c>
      <c r="U117" s="9">
        <v>0</v>
      </c>
      <c r="V117" s="7">
        <v>0</v>
      </c>
      <c r="W117" s="14">
        <f t="shared" si="1"/>
        <v>-536.399999999999</v>
      </c>
    </row>
    <row r="118" ht="13.8" spans="1:23">
      <c r="A118" s="5">
        <v>4403605</v>
      </c>
      <c r="B118" s="6" t="s">
        <v>172</v>
      </c>
      <c r="C118" s="6" t="s">
        <v>77</v>
      </c>
      <c r="D118" s="6">
        <v>6</v>
      </c>
      <c r="E118" s="6">
        <v>13</v>
      </c>
      <c r="F118" s="7">
        <v>219.45</v>
      </c>
      <c r="G118" s="7">
        <v>529.1</v>
      </c>
      <c r="H118" s="7">
        <v>280.89</v>
      </c>
      <c r="I118" s="6">
        <v>0</v>
      </c>
      <c r="J118" s="7">
        <v>0</v>
      </c>
      <c r="K118" s="6">
        <v>0</v>
      </c>
      <c r="L118" s="7">
        <v>1029.44</v>
      </c>
      <c r="M118" s="7">
        <v>41.18</v>
      </c>
      <c r="N118" s="7">
        <v>1703.97</v>
      </c>
      <c r="O118" s="7">
        <v>0</v>
      </c>
      <c r="P118" s="6">
        <v>0</v>
      </c>
      <c r="Q118" s="9">
        <v>0</v>
      </c>
      <c r="R118" s="6">
        <v>0</v>
      </c>
      <c r="S118" s="9">
        <v>0</v>
      </c>
      <c r="T118" s="7">
        <v>1703.97</v>
      </c>
      <c r="U118" s="9">
        <v>0</v>
      </c>
      <c r="V118" s="6">
        <v>0</v>
      </c>
      <c r="W118" s="14">
        <f t="shared" si="1"/>
        <v>-715.71</v>
      </c>
    </row>
    <row r="119" ht="13.8" spans="1:23">
      <c r="A119" s="2">
        <v>4225100</v>
      </c>
      <c r="B119" s="3" t="s">
        <v>173</v>
      </c>
      <c r="C119" s="3" t="s">
        <v>121</v>
      </c>
      <c r="D119" s="3">
        <v>30</v>
      </c>
      <c r="E119" s="3">
        <v>39</v>
      </c>
      <c r="F119" s="4">
        <v>988.13</v>
      </c>
      <c r="G119" s="4">
        <v>1610.25</v>
      </c>
      <c r="H119" s="4">
        <v>910.11</v>
      </c>
      <c r="I119" s="3">
        <v>0</v>
      </c>
      <c r="J119" s="4">
        <v>0</v>
      </c>
      <c r="K119" s="3">
        <v>25</v>
      </c>
      <c r="L119" s="4">
        <v>3533.49</v>
      </c>
      <c r="M119" s="4">
        <v>141.34</v>
      </c>
      <c r="N119" s="4">
        <v>939.99</v>
      </c>
      <c r="O119" s="4">
        <v>3075.95</v>
      </c>
      <c r="P119" s="3">
        <v>96.04</v>
      </c>
      <c r="Q119" s="3">
        <v>0</v>
      </c>
      <c r="R119" s="3">
        <v>0</v>
      </c>
      <c r="S119" s="3">
        <v>0</v>
      </c>
      <c r="T119" s="4">
        <v>4111.98</v>
      </c>
      <c r="U119" s="3">
        <v>0</v>
      </c>
      <c r="V119" s="4">
        <v>0</v>
      </c>
      <c r="W119" s="14">
        <f t="shared" si="1"/>
        <v>-719.83</v>
      </c>
    </row>
    <row r="120" ht="13.8" spans="1:23">
      <c r="A120" s="5">
        <v>4379989</v>
      </c>
      <c r="B120" s="6" t="s">
        <v>174</v>
      </c>
      <c r="C120" s="6" t="s">
        <v>31</v>
      </c>
      <c r="D120" s="6">
        <v>26</v>
      </c>
      <c r="E120" s="6">
        <v>36</v>
      </c>
      <c r="F120" s="7">
        <v>1009.8</v>
      </c>
      <c r="G120" s="7">
        <v>1512</v>
      </c>
      <c r="H120" s="7">
        <v>913.34</v>
      </c>
      <c r="I120" s="6">
        <v>0</v>
      </c>
      <c r="J120" s="6">
        <v>0</v>
      </c>
      <c r="K120" s="6">
        <v>0</v>
      </c>
      <c r="L120" s="7">
        <v>3435.14</v>
      </c>
      <c r="M120" s="6">
        <v>137.41</v>
      </c>
      <c r="N120" s="7">
        <v>1491.82</v>
      </c>
      <c r="O120" s="7">
        <v>265.99</v>
      </c>
      <c r="P120" s="6">
        <v>96.04</v>
      </c>
      <c r="Q120" s="9">
        <v>1250</v>
      </c>
      <c r="R120" s="6">
        <v>0</v>
      </c>
      <c r="S120" s="9">
        <v>0</v>
      </c>
      <c r="T120" s="7">
        <v>1853.85</v>
      </c>
      <c r="U120" s="9">
        <v>935</v>
      </c>
      <c r="V120" s="7">
        <v>0</v>
      </c>
      <c r="W120" s="14">
        <f t="shared" si="1"/>
        <v>-741.12</v>
      </c>
    </row>
    <row r="121" ht="13.8" spans="1:23">
      <c r="A121" s="5">
        <v>4397434</v>
      </c>
      <c r="B121" s="6" t="s">
        <v>175</v>
      </c>
      <c r="C121" s="6" t="s">
        <v>108</v>
      </c>
      <c r="D121" s="6">
        <v>91</v>
      </c>
      <c r="E121" s="6">
        <v>114</v>
      </c>
      <c r="F121" s="7">
        <v>3704.91</v>
      </c>
      <c r="G121" s="7">
        <v>5153.02</v>
      </c>
      <c r="H121" s="7">
        <v>2961.63</v>
      </c>
      <c r="I121" s="6">
        <v>0</v>
      </c>
      <c r="J121" s="7">
        <v>0</v>
      </c>
      <c r="K121" s="6">
        <v>33.33</v>
      </c>
      <c r="L121" s="7">
        <v>11852.89</v>
      </c>
      <c r="M121" s="6">
        <v>474.12</v>
      </c>
      <c r="N121" s="7">
        <v>9540.82</v>
      </c>
      <c r="O121" s="7">
        <v>1652.98</v>
      </c>
      <c r="P121" s="6">
        <v>96.04</v>
      </c>
      <c r="Q121" s="9">
        <v>500</v>
      </c>
      <c r="R121" s="6">
        <v>0</v>
      </c>
      <c r="S121" s="9">
        <v>0</v>
      </c>
      <c r="T121" s="7">
        <v>11289.84</v>
      </c>
      <c r="U121" s="9">
        <v>935</v>
      </c>
      <c r="V121" s="7">
        <v>600</v>
      </c>
      <c r="W121" s="14">
        <f t="shared" si="1"/>
        <v>-746.070000000001</v>
      </c>
    </row>
    <row r="122" ht="13.8" spans="1:23">
      <c r="A122" s="5">
        <v>4397425</v>
      </c>
      <c r="B122" s="6" t="s">
        <v>176</v>
      </c>
      <c r="C122" s="6" t="s">
        <v>77</v>
      </c>
      <c r="D122" s="6">
        <v>29</v>
      </c>
      <c r="E122" s="6">
        <v>39</v>
      </c>
      <c r="F122" s="7">
        <v>1042.8</v>
      </c>
      <c r="G122" s="7">
        <v>1578.05</v>
      </c>
      <c r="H122" s="7">
        <v>878.67</v>
      </c>
      <c r="I122" s="7">
        <v>0</v>
      </c>
      <c r="J122" s="6">
        <v>0</v>
      </c>
      <c r="K122" s="6">
        <v>0</v>
      </c>
      <c r="L122" s="7">
        <v>3499.52</v>
      </c>
      <c r="M122" s="6">
        <v>139.98</v>
      </c>
      <c r="N122" s="7">
        <v>2673.85</v>
      </c>
      <c r="O122" s="7">
        <v>0</v>
      </c>
      <c r="P122" s="6">
        <v>96.04</v>
      </c>
      <c r="Q122" s="9">
        <v>500</v>
      </c>
      <c r="R122" s="6">
        <v>0</v>
      </c>
      <c r="S122" s="9">
        <v>0</v>
      </c>
      <c r="T122" s="7">
        <v>2769.89</v>
      </c>
      <c r="U122" s="9">
        <v>935</v>
      </c>
      <c r="V122" s="7">
        <v>0</v>
      </c>
      <c r="W122" s="14">
        <f t="shared" si="1"/>
        <v>-845.35</v>
      </c>
    </row>
    <row r="123" ht="13.8" spans="1:23">
      <c r="A123" s="5">
        <v>1837543</v>
      </c>
      <c r="B123" s="6" t="s">
        <v>177</v>
      </c>
      <c r="C123" s="10" t="s">
        <v>24</v>
      </c>
      <c r="D123" s="6">
        <v>46</v>
      </c>
      <c r="E123" s="6">
        <v>68</v>
      </c>
      <c r="F123" s="7">
        <v>2079</v>
      </c>
      <c r="G123" s="7">
        <v>3327.85</v>
      </c>
      <c r="H123" s="7">
        <v>1135.23</v>
      </c>
      <c r="I123" s="7">
        <v>0</v>
      </c>
      <c r="J123" s="7">
        <v>0</v>
      </c>
      <c r="K123" s="6">
        <v>141.67</v>
      </c>
      <c r="L123" s="7">
        <v>6683.75</v>
      </c>
      <c r="M123" s="6">
        <v>267.35</v>
      </c>
      <c r="N123" s="7">
        <v>6936.9</v>
      </c>
      <c r="O123" s="7">
        <v>234.98</v>
      </c>
      <c r="P123" s="6">
        <v>96.04</v>
      </c>
      <c r="Q123" s="13">
        <v>0</v>
      </c>
      <c r="R123" s="6">
        <v>0</v>
      </c>
      <c r="S123" s="13">
        <v>0</v>
      </c>
      <c r="T123" s="7">
        <v>7267.92</v>
      </c>
      <c r="U123" s="13">
        <v>0</v>
      </c>
      <c r="V123" s="7">
        <v>0</v>
      </c>
      <c r="W123" s="14">
        <f t="shared" si="1"/>
        <v>-851.52</v>
      </c>
    </row>
    <row r="124" ht="13.8" spans="1:23">
      <c r="A124" s="5">
        <v>4287115</v>
      </c>
      <c r="B124" s="6" t="s">
        <v>178</v>
      </c>
      <c r="C124" s="6" t="s">
        <v>63</v>
      </c>
      <c r="D124" s="6">
        <v>69</v>
      </c>
      <c r="E124" s="6">
        <v>101</v>
      </c>
      <c r="F124" s="7">
        <v>2703.6</v>
      </c>
      <c r="G124" s="7">
        <v>4406</v>
      </c>
      <c r="H124" s="7">
        <v>2078.56</v>
      </c>
      <c r="I124" s="7">
        <v>0</v>
      </c>
      <c r="J124" s="6">
        <v>0</v>
      </c>
      <c r="K124" s="6">
        <v>58.33</v>
      </c>
      <c r="L124" s="7">
        <v>9246.49</v>
      </c>
      <c r="M124" s="6">
        <v>369.86</v>
      </c>
      <c r="N124" s="7">
        <v>7333.98</v>
      </c>
      <c r="O124" s="7">
        <v>957.99</v>
      </c>
      <c r="P124" s="6">
        <v>96.04</v>
      </c>
      <c r="Q124" s="13">
        <v>500</v>
      </c>
      <c r="R124" s="6">
        <v>0</v>
      </c>
      <c r="S124" s="13">
        <v>0</v>
      </c>
      <c r="T124" s="7">
        <v>8388.01</v>
      </c>
      <c r="U124" s="13">
        <v>935</v>
      </c>
      <c r="V124" s="7">
        <v>0</v>
      </c>
      <c r="W124" s="14">
        <f t="shared" si="1"/>
        <v>-946.38</v>
      </c>
    </row>
    <row r="125" ht="13.8" spans="1:23">
      <c r="A125" s="5">
        <v>4353768</v>
      </c>
      <c r="B125" s="6" t="s">
        <v>179</v>
      </c>
      <c r="C125" s="6" t="s">
        <v>39</v>
      </c>
      <c r="D125" s="6">
        <v>36</v>
      </c>
      <c r="E125" s="6">
        <v>65</v>
      </c>
      <c r="F125" s="7">
        <v>1452.33</v>
      </c>
      <c r="G125" s="7">
        <v>2889.58</v>
      </c>
      <c r="H125" s="7">
        <v>1608.88</v>
      </c>
      <c r="I125" s="6">
        <v>0</v>
      </c>
      <c r="J125" s="7">
        <v>0</v>
      </c>
      <c r="K125" s="6">
        <v>41.67</v>
      </c>
      <c r="L125" s="7">
        <v>5992.46</v>
      </c>
      <c r="M125" s="6">
        <v>239.7</v>
      </c>
      <c r="N125" s="7">
        <v>6362.77</v>
      </c>
      <c r="O125" s="6">
        <v>342.17</v>
      </c>
      <c r="P125" s="6">
        <v>96.04</v>
      </c>
      <c r="Q125" s="9">
        <v>0</v>
      </c>
      <c r="R125" s="6">
        <v>72.03</v>
      </c>
      <c r="S125" s="9">
        <v>0</v>
      </c>
      <c r="T125" s="7">
        <v>6873.01</v>
      </c>
      <c r="U125" s="9">
        <v>0</v>
      </c>
      <c r="V125" s="6">
        <v>0</v>
      </c>
      <c r="W125" s="14">
        <f t="shared" si="1"/>
        <v>-1120.25</v>
      </c>
    </row>
    <row r="126" ht="13.8" spans="1:23">
      <c r="A126" s="5">
        <v>4350851</v>
      </c>
      <c r="B126" s="6" t="s">
        <v>180</v>
      </c>
      <c r="C126" s="6" t="s">
        <v>181</v>
      </c>
      <c r="D126" s="6">
        <v>67</v>
      </c>
      <c r="E126" s="6">
        <v>78</v>
      </c>
      <c r="F126" s="7">
        <v>2257.5</v>
      </c>
      <c r="G126" s="7">
        <v>3081.75</v>
      </c>
      <c r="H126" s="7">
        <v>2544.04</v>
      </c>
      <c r="I126" s="6">
        <v>916.66</v>
      </c>
      <c r="J126" s="6">
        <v>0</v>
      </c>
      <c r="K126" s="6">
        <v>50</v>
      </c>
      <c r="L126" s="7">
        <v>8849.95</v>
      </c>
      <c r="M126" s="6">
        <v>354</v>
      </c>
      <c r="N126" s="7">
        <v>3320.92</v>
      </c>
      <c r="O126" s="7">
        <v>6247.4</v>
      </c>
      <c r="P126" s="6">
        <v>96.04</v>
      </c>
      <c r="Q126" s="9">
        <v>0</v>
      </c>
      <c r="R126" s="6">
        <v>0</v>
      </c>
      <c r="S126" s="9">
        <v>0</v>
      </c>
      <c r="T126" s="7">
        <v>9664.36</v>
      </c>
      <c r="U126" s="9">
        <v>0</v>
      </c>
      <c r="V126" s="6">
        <v>0</v>
      </c>
      <c r="W126" s="14">
        <f t="shared" si="1"/>
        <v>-1168.41</v>
      </c>
    </row>
    <row r="127" ht="16.5" customHeight="1" spans="1:23">
      <c r="A127" s="5">
        <v>4419694</v>
      </c>
      <c r="B127" s="6" t="s">
        <v>182</v>
      </c>
      <c r="C127" s="6" t="s">
        <v>110</v>
      </c>
      <c r="D127" s="6">
        <v>14</v>
      </c>
      <c r="E127" s="6">
        <v>17</v>
      </c>
      <c r="F127" s="7">
        <v>519.97</v>
      </c>
      <c r="G127" s="7">
        <v>679</v>
      </c>
      <c r="H127" s="7">
        <v>561.11</v>
      </c>
      <c r="I127" s="7">
        <v>0</v>
      </c>
      <c r="J127" s="7">
        <v>0</v>
      </c>
      <c r="K127" s="6">
        <v>0</v>
      </c>
      <c r="L127" s="7">
        <v>1760.08</v>
      </c>
      <c r="M127" s="6">
        <v>70.4</v>
      </c>
      <c r="N127" s="7">
        <v>581.98</v>
      </c>
      <c r="O127" s="7">
        <v>0</v>
      </c>
      <c r="P127" s="6">
        <v>96.04</v>
      </c>
      <c r="Q127" s="9">
        <v>1250</v>
      </c>
      <c r="R127" s="6">
        <v>0</v>
      </c>
      <c r="S127" s="9">
        <v>0</v>
      </c>
      <c r="T127" s="6">
        <v>678.02</v>
      </c>
      <c r="U127" s="9">
        <v>935</v>
      </c>
      <c r="V127" s="7">
        <v>0</v>
      </c>
      <c r="W127" s="14">
        <f t="shared" si="1"/>
        <v>-1173.34</v>
      </c>
    </row>
    <row r="128" ht="13.8" spans="1:23">
      <c r="A128" s="5">
        <v>4416219</v>
      </c>
      <c r="B128" s="6" t="s">
        <v>183</v>
      </c>
      <c r="C128" s="6" t="s">
        <v>31</v>
      </c>
      <c r="D128" s="6">
        <v>26</v>
      </c>
      <c r="E128" s="6">
        <v>41</v>
      </c>
      <c r="F128" s="7">
        <v>1013.1</v>
      </c>
      <c r="G128" s="7">
        <v>1744.2</v>
      </c>
      <c r="H128" s="7">
        <v>1154.71</v>
      </c>
      <c r="I128" s="7">
        <v>0</v>
      </c>
      <c r="J128" s="7">
        <v>0</v>
      </c>
      <c r="K128" s="6">
        <v>16.67</v>
      </c>
      <c r="L128" s="7">
        <v>3928.68</v>
      </c>
      <c r="M128" s="7">
        <v>157.15</v>
      </c>
      <c r="N128" s="7">
        <v>338.99</v>
      </c>
      <c r="O128" s="7">
        <v>2486.7</v>
      </c>
      <c r="P128" s="6">
        <v>0</v>
      </c>
      <c r="Q128" s="13">
        <v>1250</v>
      </c>
      <c r="R128" s="6">
        <v>0</v>
      </c>
      <c r="S128" s="13">
        <v>0</v>
      </c>
      <c r="T128" s="7">
        <v>2825.69</v>
      </c>
      <c r="U128" s="13">
        <v>935</v>
      </c>
      <c r="V128" s="7">
        <v>0</v>
      </c>
      <c r="W128" s="14">
        <f t="shared" si="1"/>
        <v>-1239.16</v>
      </c>
    </row>
    <row r="129" ht="13.8" spans="1:23">
      <c r="A129" s="5">
        <v>2532522</v>
      </c>
      <c r="B129" s="6" t="s">
        <v>184</v>
      </c>
      <c r="C129" s="6" t="s">
        <v>108</v>
      </c>
      <c r="D129" s="6">
        <v>73</v>
      </c>
      <c r="E129" s="6">
        <v>94</v>
      </c>
      <c r="F129" s="7">
        <v>3015.03</v>
      </c>
      <c r="G129" s="7">
        <v>4286.44</v>
      </c>
      <c r="H129" s="7">
        <v>2055.47</v>
      </c>
      <c r="I129" s="7">
        <v>0</v>
      </c>
      <c r="J129" s="7">
        <v>0</v>
      </c>
      <c r="K129" s="6">
        <v>25</v>
      </c>
      <c r="L129" s="7">
        <v>9381.94</v>
      </c>
      <c r="M129" s="6">
        <v>375.28</v>
      </c>
      <c r="N129" s="7">
        <v>6149.72</v>
      </c>
      <c r="O129" s="7">
        <v>2876.35</v>
      </c>
      <c r="P129" s="6">
        <v>96.04</v>
      </c>
      <c r="Q129" s="13">
        <v>0</v>
      </c>
      <c r="R129" s="7">
        <v>1175.49</v>
      </c>
      <c r="S129" s="13">
        <v>0</v>
      </c>
      <c r="T129" s="7">
        <v>10297.6</v>
      </c>
      <c r="U129" s="13">
        <v>0</v>
      </c>
      <c r="V129" s="7">
        <v>0</v>
      </c>
      <c r="W129" s="14">
        <f t="shared" si="1"/>
        <v>-1290.94</v>
      </c>
    </row>
    <row r="130" ht="13.8" spans="1:23">
      <c r="A130" s="5">
        <v>4397397</v>
      </c>
      <c r="B130" s="6" t="s">
        <v>185</v>
      </c>
      <c r="C130" s="6" t="s">
        <v>31</v>
      </c>
      <c r="D130" s="6">
        <v>33</v>
      </c>
      <c r="E130" s="6">
        <v>45</v>
      </c>
      <c r="F130" s="7">
        <v>1186.35</v>
      </c>
      <c r="G130" s="7">
        <v>1796.4</v>
      </c>
      <c r="H130" s="7">
        <v>1212.14</v>
      </c>
      <c r="I130" s="7">
        <v>0</v>
      </c>
      <c r="J130" s="6">
        <v>0</v>
      </c>
      <c r="K130" s="6">
        <v>58.33</v>
      </c>
      <c r="L130" s="7">
        <v>4253.22</v>
      </c>
      <c r="M130" s="6">
        <v>170.13</v>
      </c>
      <c r="N130" s="7">
        <v>2023.07</v>
      </c>
      <c r="O130" s="7">
        <v>1575.26</v>
      </c>
      <c r="P130" s="6">
        <v>96.04</v>
      </c>
      <c r="Q130" s="13">
        <v>1250</v>
      </c>
      <c r="R130" s="6">
        <v>0</v>
      </c>
      <c r="S130" s="13">
        <v>0</v>
      </c>
      <c r="T130" s="7">
        <v>3694.37</v>
      </c>
      <c r="U130" s="13">
        <v>935</v>
      </c>
      <c r="V130" s="7">
        <v>500</v>
      </c>
      <c r="W130" s="14">
        <f t="shared" si="1"/>
        <v>-1296.28</v>
      </c>
    </row>
    <row r="131" ht="13.8" spans="1:23">
      <c r="A131" s="5">
        <v>2188014</v>
      </c>
      <c r="B131" s="6" t="s">
        <v>186</v>
      </c>
      <c r="C131" s="6" t="s">
        <v>92</v>
      </c>
      <c r="D131" s="6">
        <v>145</v>
      </c>
      <c r="E131" s="6">
        <v>180</v>
      </c>
      <c r="F131" s="7">
        <v>4354</v>
      </c>
      <c r="G131" s="7">
        <v>6783</v>
      </c>
      <c r="H131" s="7">
        <v>3557.4</v>
      </c>
      <c r="I131" s="6">
        <v>0</v>
      </c>
      <c r="J131" s="7">
        <v>1895.83</v>
      </c>
      <c r="K131" s="6">
        <v>158.33</v>
      </c>
      <c r="L131" s="7">
        <v>16748.57</v>
      </c>
      <c r="M131" s="7">
        <v>669.94</v>
      </c>
      <c r="N131" s="7">
        <v>11323.7</v>
      </c>
      <c r="O131" s="7">
        <v>4505.81</v>
      </c>
      <c r="P131" s="6">
        <v>96.04</v>
      </c>
      <c r="Q131" s="20">
        <v>2500</v>
      </c>
      <c r="R131" s="7">
        <v>0</v>
      </c>
      <c r="S131" s="20">
        <v>0</v>
      </c>
      <c r="T131" s="7">
        <v>15925.55</v>
      </c>
      <c r="U131" s="20">
        <v>1871</v>
      </c>
      <c r="V131" s="7">
        <v>2800</v>
      </c>
      <c r="W131" s="14">
        <f t="shared" si="1"/>
        <v>-1417.92</v>
      </c>
    </row>
    <row r="132" ht="13.8" spans="1:23">
      <c r="A132" s="15">
        <v>4195602</v>
      </c>
      <c r="B132" s="16" t="s">
        <v>187</v>
      </c>
      <c r="C132" s="16" t="s">
        <v>57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500</v>
      </c>
      <c r="R132" s="16">
        <v>0</v>
      </c>
      <c r="S132" s="16">
        <v>0</v>
      </c>
      <c r="T132" s="16">
        <v>0</v>
      </c>
      <c r="U132" s="16">
        <v>935</v>
      </c>
      <c r="V132" s="16">
        <v>0</v>
      </c>
      <c r="W132" s="14">
        <f t="shared" si="1"/>
        <v>-1435</v>
      </c>
    </row>
    <row r="133" ht="13.8" spans="1:23">
      <c r="A133" s="5">
        <v>4316567</v>
      </c>
      <c r="B133" s="6" t="s">
        <v>188</v>
      </c>
      <c r="C133" s="6" t="s">
        <v>108</v>
      </c>
      <c r="D133" s="6">
        <v>78</v>
      </c>
      <c r="E133" s="6">
        <v>102</v>
      </c>
      <c r="F133" s="7">
        <v>3095.34</v>
      </c>
      <c r="G133" s="7">
        <v>4492.48</v>
      </c>
      <c r="H133" s="7">
        <v>2357.05</v>
      </c>
      <c r="I133" s="6">
        <v>0</v>
      </c>
      <c r="J133" s="6">
        <v>0</v>
      </c>
      <c r="K133" s="6">
        <v>133.33</v>
      </c>
      <c r="L133" s="7">
        <v>10078.2</v>
      </c>
      <c r="M133" s="6">
        <v>403.13</v>
      </c>
      <c r="N133" s="7">
        <v>9930.13</v>
      </c>
      <c r="O133" s="7">
        <v>1280.99</v>
      </c>
      <c r="P133" s="6">
        <v>96.04</v>
      </c>
      <c r="Q133" s="9">
        <v>0</v>
      </c>
      <c r="R133" s="6">
        <v>0</v>
      </c>
      <c r="S133" s="9">
        <v>0</v>
      </c>
      <c r="T133" s="7">
        <v>11307.16</v>
      </c>
      <c r="U133" s="9">
        <v>0</v>
      </c>
      <c r="V133" s="6">
        <v>0</v>
      </c>
      <c r="W133" s="14">
        <f t="shared" si="1"/>
        <v>-1632.09</v>
      </c>
    </row>
    <row r="134" ht="13.8" spans="1:23">
      <c r="A134" s="5">
        <v>4350405</v>
      </c>
      <c r="B134" s="6" t="s">
        <v>189</v>
      </c>
      <c r="C134" s="6" t="s">
        <v>69</v>
      </c>
      <c r="D134" s="6">
        <v>71</v>
      </c>
      <c r="E134" s="6">
        <v>94</v>
      </c>
      <c r="F134" s="7">
        <v>2719.5</v>
      </c>
      <c r="G134" s="7">
        <v>4456.95</v>
      </c>
      <c r="H134" s="7">
        <v>2127.98</v>
      </c>
      <c r="I134" s="6">
        <v>0</v>
      </c>
      <c r="J134" s="7">
        <v>0</v>
      </c>
      <c r="K134" s="6">
        <v>41.67</v>
      </c>
      <c r="L134" s="7">
        <v>9346.1</v>
      </c>
      <c r="M134" s="6">
        <v>373.84</v>
      </c>
      <c r="N134" s="7">
        <v>6066.41</v>
      </c>
      <c r="O134" s="7">
        <v>3069.48</v>
      </c>
      <c r="P134" s="6">
        <v>96.04</v>
      </c>
      <c r="Q134" s="13">
        <v>500</v>
      </c>
      <c r="R134" s="6">
        <v>0</v>
      </c>
      <c r="S134" s="13">
        <v>0</v>
      </c>
      <c r="T134" s="7">
        <v>9231.93</v>
      </c>
      <c r="U134" s="13">
        <v>935</v>
      </c>
      <c r="V134" s="7">
        <v>0</v>
      </c>
      <c r="W134" s="14">
        <f t="shared" si="1"/>
        <v>-1694.67</v>
      </c>
    </row>
    <row r="135" ht="13.8" spans="1:23">
      <c r="A135" s="5">
        <v>4366195</v>
      </c>
      <c r="B135" s="6" t="s">
        <v>190</v>
      </c>
      <c r="C135" s="6" t="s">
        <v>69</v>
      </c>
      <c r="D135" s="6">
        <v>7</v>
      </c>
      <c r="E135" s="6">
        <v>10</v>
      </c>
      <c r="F135" s="7">
        <v>259</v>
      </c>
      <c r="G135" s="7">
        <v>464.4</v>
      </c>
      <c r="H135" s="7">
        <v>179.15</v>
      </c>
      <c r="I135" s="6">
        <v>0</v>
      </c>
      <c r="J135" s="6">
        <v>0</v>
      </c>
      <c r="K135" s="6">
        <v>0</v>
      </c>
      <c r="L135" s="7">
        <v>902.55</v>
      </c>
      <c r="M135" s="6">
        <v>36.1</v>
      </c>
      <c r="N135" s="7">
        <v>0</v>
      </c>
      <c r="O135" s="7">
        <v>390.99</v>
      </c>
      <c r="P135" s="6">
        <v>0</v>
      </c>
      <c r="Q135" s="9">
        <v>1250</v>
      </c>
      <c r="R135" s="6">
        <v>0</v>
      </c>
      <c r="S135" s="9">
        <v>0</v>
      </c>
      <c r="T135" s="6">
        <v>390.99</v>
      </c>
      <c r="U135" s="9">
        <v>935</v>
      </c>
      <c r="V135" s="7">
        <v>0</v>
      </c>
      <c r="W135" s="14">
        <f t="shared" si="1"/>
        <v>-1709.54</v>
      </c>
    </row>
    <row r="136" ht="13.8" spans="1:23">
      <c r="A136" s="5">
        <v>4422757</v>
      </c>
      <c r="B136" s="6" t="s">
        <v>191</v>
      </c>
      <c r="C136" s="6" t="s">
        <v>110</v>
      </c>
      <c r="D136" s="6">
        <v>110</v>
      </c>
      <c r="E136" s="6">
        <v>144</v>
      </c>
      <c r="F136" s="7">
        <v>3951.12</v>
      </c>
      <c r="G136" s="7">
        <v>5556.25</v>
      </c>
      <c r="H136" s="7">
        <v>4557.66</v>
      </c>
      <c r="I136" s="7">
        <v>0</v>
      </c>
      <c r="J136" s="7">
        <v>0</v>
      </c>
      <c r="K136" s="6">
        <v>133.33</v>
      </c>
      <c r="L136" s="7">
        <v>14198.36</v>
      </c>
      <c r="M136" s="7">
        <v>567.93</v>
      </c>
      <c r="N136" s="7">
        <v>8162.03</v>
      </c>
      <c r="O136" s="7">
        <v>4986.11</v>
      </c>
      <c r="P136" s="6">
        <v>96.04</v>
      </c>
      <c r="Q136" s="9">
        <v>1250</v>
      </c>
      <c r="R136" s="6">
        <v>0</v>
      </c>
      <c r="S136" s="9">
        <v>0</v>
      </c>
      <c r="T136" s="7">
        <v>13244.18</v>
      </c>
      <c r="U136" s="9">
        <v>935</v>
      </c>
      <c r="V136" s="7">
        <v>0</v>
      </c>
      <c r="W136" s="14">
        <f t="shared" si="1"/>
        <v>-1798.75</v>
      </c>
    </row>
    <row r="137" ht="13.8" spans="1:23">
      <c r="A137" s="5">
        <v>4416267</v>
      </c>
      <c r="B137" s="6" t="s">
        <v>192</v>
      </c>
      <c r="C137" s="6" t="s">
        <v>92</v>
      </c>
      <c r="D137" s="6">
        <v>46</v>
      </c>
      <c r="E137" s="6">
        <v>63</v>
      </c>
      <c r="F137" s="7">
        <v>1418.2</v>
      </c>
      <c r="G137" s="7">
        <v>2416.75</v>
      </c>
      <c r="H137" s="7">
        <v>924.35</v>
      </c>
      <c r="I137" s="6">
        <v>0</v>
      </c>
      <c r="J137" s="7">
        <v>0</v>
      </c>
      <c r="K137" s="6">
        <v>33.33</v>
      </c>
      <c r="L137" s="7">
        <v>4792.63</v>
      </c>
      <c r="M137" s="6">
        <v>191.71</v>
      </c>
      <c r="N137" s="7">
        <v>7494.02</v>
      </c>
      <c r="O137" s="7">
        <v>286</v>
      </c>
      <c r="P137" s="6">
        <v>96.04</v>
      </c>
      <c r="Q137" s="9">
        <v>1250</v>
      </c>
      <c r="R137" s="6">
        <v>0</v>
      </c>
      <c r="S137" s="9">
        <v>0</v>
      </c>
      <c r="T137" s="7">
        <v>7876.06</v>
      </c>
      <c r="U137" s="9">
        <v>935</v>
      </c>
      <c r="V137" s="7">
        <v>3600</v>
      </c>
      <c r="W137" s="14">
        <f t="shared" si="1"/>
        <v>-1860.14</v>
      </c>
    </row>
    <row r="138" ht="13.8" spans="1:23">
      <c r="A138" s="5">
        <v>4312512</v>
      </c>
      <c r="B138" s="6" t="s">
        <v>193</v>
      </c>
      <c r="C138" s="6" t="s">
        <v>194</v>
      </c>
      <c r="D138" s="6">
        <v>142</v>
      </c>
      <c r="E138" s="6">
        <v>187</v>
      </c>
      <c r="F138" s="7">
        <v>4372.18</v>
      </c>
      <c r="G138" s="7">
        <v>6324.59</v>
      </c>
      <c r="H138" s="7">
        <v>4260.01</v>
      </c>
      <c r="I138" s="7">
        <v>0</v>
      </c>
      <c r="J138" s="7">
        <v>1325</v>
      </c>
      <c r="K138" s="6">
        <v>58.33</v>
      </c>
      <c r="L138" s="7">
        <v>16340.11</v>
      </c>
      <c r="M138" s="6">
        <v>653.6</v>
      </c>
      <c r="N138" s="7">
        <v>16748.99</v>
      </c>
      <c r="O138" s="7">
        <v>731.97</v>
      </c>
      <c r="P138" s="6">
        <v>96.04</v>
      </c>
      <c r="Q138" s="9">
        <v>0</v>
      </c>
      <c r="R138" s="6">
        <v>0</v>
      </c>
      <c r="S138" s="9">
        <v>0</v>
      </c>
      <c r="T138" s="7">
        <v>17577</v>
      </c>
      <c r="U138" s="9">
        <v>0</v>
      </c>
      <c r="V138" s="6">
        <v>0</v>
      </c>
      <c r="W138" s="14">
        <f t="shared" si="1"/>
        <v>-1890.49</v>
      </c>
    </row>
    <row r="139" ht="13.8" spans="1:23">
      <c r="A139" s="5">
        <v>4403603</v>
      </c>
      <c r="B139" s="6" t="s">
        <v>195</v>
      </c>
      <c r="C139" s="6" t="s">
        <v>77</v>
      </c>
      <c r="D139" s="6">
        <v>41</v>
      </c>
      <c r="E139" s="6">
        <v>59</v>
      </c>
      <c r="F139" s="7">
        <v>1565.85</v>
      </c>
      <c r="G139" s="7">
        <v>2541.9</v>
      </c>
      <c r="H139" s="7">
        <v>1248.94</v>
      </c>
      <c r="I139" s="7">
        <v>0</v>
      </c>
      <c r="J139" s="7">
        <v>0</v>
      </c>
      <c r="K139" s="6">
        <v>25</v>
      </c>
      <c r="L139" s="7">
        <v>5381.69</v>
      </c>
      <c r="M139" s="6">
        <v>215.27</v>
      </c>
      <c r="N139" s="7">
        <v>4947.25</v>
      </c>
      <c r="O139" s="7">
        <v>1156.03</v>
      </c>
      <c r="P139" s="6">
        <v>96.04</v>
      </c>
      <c r="Q139" s="9">
        <v>1250</v>
      </c>
      <c r="R139" s="6">
        <v>0</v>
      </c>
      <c r="S139" s="9">
        <v>0</v>
      </c>
      <c r="T139" s="7">
        <v>6199.32</v>
      </c>
      <c r="U139" s="9">
        <v>935</v>
      </c>
      <c r="V139" s="7">
        <v>1200</v>
      </c>
      <c r="W139" s="14">
        <f t="shared" si="1"/>
        <v>-2017.9</v>
      </c>
    </row>
    <row r="140" ht="13.8" spans="1:23">
      <c r="A140" s="5">
        <v>4397437</v>
      </c>
      <c r="B140" s="6" t="s">
        <v>196</v>
      </c>
      <c r="C140" s="6" t="s">
        <v>46</v>
      </c>
      <c r="D140" s="6">
        <v>91</v>
      </c>
      <c r="E140" s="6">
        <v>123</v>
      </c>
      <c r="F140" s="7">
        <v>3188.67</v>
      </c>
      <c r="G140" s="7">
        <v>4953.6</v>
      </c>
      <c r="H140" s="7">
        <v>3817.95</v>
      </c>
      <c r="I140" s="7">
        <v>0</v>
      </c>
      <c r="J140" s="7">
        <v>0</v>
      </c>
      <c r="K140" s="6">
        <v>116.67</v>
      </c>
      <c r="L140" s="7">
        <v>12076.89</v>
      </c>
      <c r="M140" s="6">
        <v>483.08</v>
      </c>
      <c r="N140" s="7">
        <v>10105.08</v>
      </c>
      <c r="O140" s="7">
        <v>1472.45</v>
      </c>
      <c r="P140" s="6">
        <v>96.04</v>
      </c>
      <c r="Q140" s="9">
        <v>1250</v>
      </c>
      <c r="R140" s="6">
        <v>0</v>
      </c>
      <c r="S140" s="9">
        <v>0</v>
      </c>
      <c r="T140" s="7">
        <v>11673.57</v>
      </c>
      <c r="U140" s="9">
        <v>935</v>
      </c>
      <c r="V140" s="7">
        <v>0</v>
      </c>
      <c r="W140" s="14">
        <f t="shared" si="1"/>
        <v>-2264.76</v>
      </c>
    </row>
    <row r="141" ht="13.8" spans="1:23">
      <c r="A141" s="5">
        <v>4407267</v>
      </c>
      <c r="B141" s="6" t="s">
        <v>197</v>
      </c>
      <c r="C141" s="6" t="s">
        <v>63</v>
      </c>
      <c r="D141" s="6">
        <v>97</v>
      </c>
      <c r="E141" s="6">
        <v>120</v>
      </c>
      <c r="F141" s="7">
        <v>3832.2</v>
      </c>
      <c r="G141" s="7">
        <v>5272</v>
      </c>
      <c r="H141" s="7">
        <v>2731.66</v>
      </c>
      <c r="I141" s="6">
        <v>0</v>
      </c>
      <c r="J141" s="7">
        <v>0</v>
      </c>
      <c r="K141" s="6">
        <v>75</v>
      </c>
      <c r="L141" s="7">
        <v>11910.86</v>
      </c>
      <c r="M141" s="7">
        <v>476.43</v>
      </c>
      <c r="N141" s="7">
        <v>14016.45</v>
      </c>
      <c r="O141" s="7">
        <v>1046.99</v>
      </c>
      <c r="P141" s="6">
        <v>96.04</v>
      </c>
      <c r="Q141" s="9">
        <v>1250</v>
      </c>
      <c r="R141" s="6">
        <v>0</v>
      </c>
      <c r="S141" s="9">
        <v>0</v>
      </c>
      <c r="T141" s="7">
        <v>15159.48</v>
      </c>
      <c r="U141" s="9">
        <v>935</v>
      </c>
      <c r="V141" s="7">
        <v>3400</v>
      </c>
      <c r="W141" s="14">
        <f t="shared" si="1"/>
        <v>-2510.05</v>
      </c>
    </row>
    <row r="142" ht="13.8" spans="1:23">
      <c r="A142" s="5">
        <v>4407293</v>
      </c>
      <c r="B142" s="6" t="s">
        <v>198</v>
      </c>
      <c r="C142" s="6" t="s">
        <v>143</v>
      </c>
      <c r="D142" s="6">
        <v>26</v>
      </c>
      <c r="E142" s="6">
        <v>29</v>
      </c>
      <c r="F142" s="7">
        <v>753.92</v>
      </c>
      <c r="G142" s="7">
        <v>1122.33</v>
      </c>
      <c r="H142" s="7">
        <v>929.28</v>
      </c>
      <c r="I142" s="6">
        <v>0</v>
      </c>
      <c r="J142" s="7">
        <v>0</v>
      </c>
      <c r="K142" s="6">
        <v>0</v>
      </c>
      <c r="L142" s="7">
        <v>2805.53</v>
      </c>
      <c r="M142" s="6">
        <v>112.22</v>
      </c>
      <c r="N142" s="7">
        <v>1788.96</v>
      </c>
      <c r="O142" s="7">
        <v>1304.47</v>
      </c>
      <c r="P142" s="6">
        <v>96.04</v>
      </c>
      <c r="Q142" s="21">
        <v>1250</v>
      </c>
      <c r="R142" s="6">
        <v>0</v>
      </c>
      <c r="S142" s="21">
        <v>0</v>
      </c>
      <c r="T142" s="7">
        <v>3189.47</v>
      </c>
      <c r="U142" s="21">
        <v>935</v>
      </c>
      <c r="V142" s="6">
        <v>0</v>
      </c>
      <c r="W142" s="14">
        <f t="shared" si="1"/>
        <v>-2681.16</v>
      </c>
    </row>
    <row r="143" ht="13.8" spans="1:23">
      <c r="A143" s="5">
        <v>2133481</v>
      </c>
      <c r="B143" s="6" t="s">
        <v>199</v>
      </c>
      <c r="C143" s="6" t="s">
        <v>63</v>
      </c>
      <c r="D143" s="6">
        <v>51</v>
      </c>
      <c r="E143" s="6">
        <v>84</v>
      </c>
      <c r="F143" s="7">
        <v>1990.8</v>
      </c>
      <c r="G143" s="7">
        <v>3678</v>
      </c>
      <c r="H143" s="7">
        <v>1808.04</v>
      </c>
      <c r="I143" s="6">
        <v>0</v>
      </c>
      <c r="J143" s="7">
        <v>0</v>
      </c>
      <c r="K143" s="6">
        <v>25</v>
      </c>
      <c r="L143" s="7">
        <v>7501.84</v>
      </c>
      <c r="M143" s="7">
        <v>300.07</v>
      </c>
      <c r="N143" s="7">
        <v>9466.2</v>
      </c>
      <c r="O143" s="6">
        <v>0</v>
      </c>
      <c r="P143" s="6">
        <v>96.04</v>
      </c>
      <c r="Q143" s="21">
        <v>0</v>
      </c>
      <c r="R143" s="7">
        <v>1961</v>
      </c>
      <c r="S143" s="21">
        <v>0</v>
      </c>
      <c r="T143" s="7">
        <v>11523.24</v>
      </c>
      <c r="U143" s="21">
        <v>0</v>
      </c>
      <c r="V143" s="7">
        <v>1500</v>
      </c>
      <c r="W143" s="14">
        <f t="shared" si="1"/>
        <v>-2821.47</v>
      </c>
    </row>
    <row r="144" ht="13.8" spans="1:23">
      <c r="A144" s="17">
        <v>4401319</v>
      </c>
      <c r="B144" s="17" t="s">
        <v>200</v>
      </c>
      <c r="C144" s="17" t="s">
        <v>63</v>
      </c>
      <c r="D144" s="17">
        <v>36</v>
      </c>
      <c r="E144" s="17">
        <v>62</v>
      </c>
      <c r="F144" s="18">
        <v>1441.8</v>
      </c>
      <c r="G144" s="18">
        <v>2770</v>
      </c>
      <c r="H144" s="18">
        <v>1207.38</v>
      </c>
      <c r="I144" s="18">
        <v>0</v>
      </c>
      <c r="J144" s="17">
        <v>0</v>
      </c>
      <c r="K144" s="17">
        <v>66.67</v>
      </c>
      <c r="L144" s="18">
        <v>5485.85</v>
      </c>
      <c r="M144" s="17">
        <v>219.43</v>
      </c>
      <c r="N144" s="18">
        <v>5544.04</v>
      </c>
      <c r="O144" s="18">
        <v>343.79</v>
      </c>
      <c r="P144" s="17">
        <v>96.04</v>
      </c>
      <c r="Q144" s="20">
        <v>1250</v>
      </c>
      <c r="R144" s="17">
        <v>0</v>
      </c>
      <c r="S144" s="20">
        <v>0</v>
      </c>
      <c r="T144" s="18">
        <v>5983.87</v>
      </c>
      <c r="U144" s="20">
        <v>935</v>
      </c>
      <c r="V144" s="18">
        <v>0</v>
      </c>
      <c r="W144" s="14">
        <f t="shared" si="1"/>
        <v>-2902.45</v>
      </c>
    </row>
    <row r="145" ht="13.8" spans="1:2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ht="13.8" spans="1:2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ht="13.8" spans="1:2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ht="13.8" spans="1:2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ht="13.8" spans="1:2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ht="13.8" spans="1:2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ht="13.8" spans="1:2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ht="13.8" spans="1:2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ht="13.8" spans="1:2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ht="13.8" spans="1:2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ht="13.8" spans="1:2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ht="13.8" spans="1:2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ht="13.8" spans="1:2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ht="13.8" spans="1:2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ht="13.8" spans="1:2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ht="13.8" spans="1:2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ht="13.8" spans="1:2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ht="13.8" spans="1:2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ht="13.8" spans="1:2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ht="13.8" spans="1:2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 ht="13.8" spans="1:2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ht="13.8" spans="1:2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 ht="13.8" spans="1:2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ht="13.8" spans="1:2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ht="13.8" spans="1:2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ht="13.8" spans="1:2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ht="13.8" spans="1:2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ht="13.8" spans="1:2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 ht="13.8" spans="1:2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ht="13.8" spans="1:2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ht="13.8" spans="1:2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 ht="13.8" spans="1:2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 ht="13.8" spans="1:2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 ht="13.8" spans="1:2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 ht="13.8" spans="1:2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 ht="13.8" spans="1:2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 ht="13.8" spans="1:2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 ht="13.8" spans="1:2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 ht="13.8" spans="1:2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 ht="13.8" spans="1:2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 ht="13.8" spans="1:2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ht="13.8" spans="1:2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 ht="13.8" spans="1:2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 ht="13.8" spans="1:2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 ht="13.8" spans="1:2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 ht="13.8" spans="1:2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ht="13.8" spans="1:2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 ht="13.8" spans="1:2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 ht="13.8" spans="1:2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 ht="13.8" spans="1:2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 ht="13.8" spans="1:2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 ht="13.8" spans="1:2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 ht="13.8" spans="1:2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 ht="13.8" spans="1:2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 ht="13.8" spans="1:2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 ht="13.8" spans="1:2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 ht="13.8" spans="1:2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ht="13.8" spans="1:2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 ht="13.8" spans="1:2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 ht="13.8" spans="1:2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 ht="13.8" spans="1:2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ht="13.8" spans="1:2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 ht="13.8" spans="1:2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 ht="13.8" spans="1:2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 ht="13.8" spans="1:2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 ht="13.8" spans="1:2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 ht="13.8" spans="1:2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 ht="13.8" spans="1:2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 ht="13.8" spans="1:2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 ht="13.8" spans="1:2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 ht="13.8" spans="1:2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 ht="13.8" spans="1:2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 ht="13.8" spans="1:2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 ht="13.8" spans="1:2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 ht="13.8" spans="1:2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 ht="13.8" spans="1:2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 ht="13.8" spans="1:2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 ht="13.8" spans="1:2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 ht="13.8" spans="1: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 ht="13.8" spans="1:2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 ht="13.8" spans="1:2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 ht="13.8" spans="1:2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 ht="13.8" spans="1:2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 ht="13.8" spans="1:2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 ht="13.8" spans="1:2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 ht="13.8" spans="1:2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 ht="13.8" spans="1:2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 ht="13.8" spans="1:2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 ht="13.8" spans="1:2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 ht="13.8" spans="1:2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 ht="13.8" spans="1:2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 ht="13.8" spans="1:2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 ht="13.8" spans="1:2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 ht="13.8" spans="1:2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 ht="13.8" spans="1:2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 ht="13.8" spans="1:2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 ht="13.8" spans="1:2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 ht="13.8" spans="1:2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 ht="13.8" spans="1:2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 ht="13.8" spans="1:2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 ht="13.8" spans="1:2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 ht="13.8" spans="1:2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 ht="13.8" spans="1:2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 ht="13.8" spans="1:2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 ht="13.8" spans="1:2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 ht="13.8" spans="1:2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 ht="13.8" spans="1:2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 ht="13.8" spans="1:2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 ht="13.8" spans="1:2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 ht="13.8" spans="1:2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 ht="13.8" spans="1:2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 ht="13.8" spans="1:2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 ht="13.8" spans="1:2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 ht="13.8" spans="1:2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 ht="13.8" spans="1:2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 ht="13.8" spans="1:2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 ht="13.8" spans="1:2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 ht="13.8" spans="1:2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 ht="13.8" spans="1:2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 ht="13.8" spans="1:2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 ht="13.8" spans="1:2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 ht="13.8" spans="1:2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 ht="13.8" spans="1:2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 ht="13.8" spans="1:2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 ht="13.8" spans="1:2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 ht="13.8" spans="1:2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 ht="13.8" spans="1:2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 ht="13.8" spans="1:2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 ht="13.8" spans="1:2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 ht="13.8" spans="1:2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 ht="13.8" spans="1:2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 ht="13.8" spans="1:2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 ht="13.8" spans="1:2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 ht="13.8" spans="1:2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 ht="13.8" spans="1:2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 ht="13.8" spans="1:2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 ht="13.8" spans="1:2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 ht="13.8" spans="1:2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 ht="13.8" spans="1:2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 ht="13.8" spans="1:2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 ht="13.8" spans="1:2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 ht="13.8" spans="1:2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 ht="13.8" spans="1:2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 ht="13.8" spans="1:2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 ht="13.8" spans="1:2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 ht="13.8" spans="1:2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 ht="13.8" spans="1:2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 ht="13.8" spans="1:2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 ht="13.8" spans="1:2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 ht="13.8" spans="1:2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 ht="13.8" spans="1:2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 ht="13.8" spans="1:2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 ht="13.8" spans="1:2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 ht="13.8" spans="1:2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 ht="13.8" spans="1:2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 ht="13.8" spans="1:2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 ht="13.8" spans="1:2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 ht="13.8" spans="1:2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 ht="13.8" spans="1:2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 ht="13.8" spans="1:2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 ht="13.8" spans="1:2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 ht="13.8" spans="1:2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 ht="13.8" spans="1:2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 ht="13.8" spans="1:2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 ht="13.8" spans="1:2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 ht="13.8" spans="1:2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 ht="13.8" spans="1:2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 ht="13.8" spans="1:2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 ht="13.8" spans="1:2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 ht="13.8" spans="1:2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 ht="13.8" spans="1:2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 ht="13.8" spans="1:2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 ht="13.8" spans="1:2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 ht="13.8" spans="1:2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 ht="13.8" spans="1:2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 ht="13.8" spans="1:2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 ht="13.8" spans="1:2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 ht="13.8" spans="1:2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 ht="13.8" spans="1: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 ht="13.8" spans="1:2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 ht="13.8" spans="1:2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 ht="13.8" spans="1:2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 ht="13.8" spans="1:2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 ht="13.8" spans="1:2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 ht="13.8" spans="1:2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 ht="13.8" spans="1:2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 ht="13.8" spans="1:2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 ht="13.8" spans="1:2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 ht="13.8" spans="1:2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 ht="13.8" spans="1:2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 ht="13.8" spans="1:2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 ht="13.8" spans="1:2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 ht="13.8" spans="1:2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 ht="13.8" spans="1:2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 ht="13.8" spans="1:2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 ht="13.8" spans="1:2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 ht="13.8" spans="1:2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 ht="13.8" spans="1:2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 ht="13.8" spans="1:2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 ht="13.8" spans="1:2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 ht="13.8" spans="1:2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 ht="13.8" spans="1:2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 ht="13.8" spans="1:2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 ht="13.8" spans="1:2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 ht="13.8" spans="1:2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 ht="13.8" spans="1:2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 ht="13.8" spans="1:2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 ht="13.8" spans="1:2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 ht="13.8" spans="1:2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 ht="13.8" spans="1:2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 ht="13.8" spans="1:2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 ht="13.8" spans="1:2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 ht="13.8" spans="1:2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 ht="13.8" spans="1:2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 ht="13.8" spans="1:2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 ht="13.8" spans="1:2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 ht="13.8" spans="1:2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 ht="13.8" spans="1:2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 ht="13.8" spans="1:2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 ht="13.8" spans="1:2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 ht="13.8" spans="1:2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 ht="13.8" spans="1:2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 ht="13.8" spans="1:2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 ht="13.8" spans="1:2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 ht="13.8" spans="1:2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 ht="13.8" spans="1:2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 ht="13.8" spans="1:2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 ht="13.8" spans="1:2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 ht="13.8" spans="1:2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 ht="13.8" spans="1:2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 ht="13.8" spans="1:2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 ht="13.8" spans="1:2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 ht="13.8" spans="1:2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 ht="13.8" spans="1:2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 ht="13.8" spans="1:2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 ht="13.8" spans="1:2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 ht="13.8" spans="1:2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 ht="13.8" spans="1:2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 ht="13.8" spans="1:2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 ht="13.8" spans="1:2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 ht="13.8" spans="1:2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 ht="13.8" spans="1:2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 ht="13.8" spans="1:2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 ht="13.8" spans="1:2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 ht="13.8" spans="1:2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 ht="13.8" spans="1:2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 ht="13.8" spans="1:2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 ht="13.8" spans="1:2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 ht="13.8" spans="1:2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 ht="13.8" spans="1:2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 ht="13.8" spans="1:2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 ht="13.8" spans="1:2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 ht="13.8" spans="1:2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 ht="13.8" spans="1:2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 ht="13.8" spans="1:2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 ht="13.8" spans="1:2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 ht="13.8" spans="1:2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 ht="13.8" spans="1:2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 ht="13.8" spans="1:2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 ht="13.8" spans="1:2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 ht="13.8" spans="1:2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 ht="13.8" spans="1:2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 ht="13.8" spans="1:2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 ht="13.8" spans="1:2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 ht="13.8" spans="1:2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 ht="13.8" spans="1:2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 ht="13.8" spans="1:2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 ht="13.8" spans="1:2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 ht="13.8" spans="1:2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 ht="13.8" spans="1:2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 ht="13.8" spans="1:2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 ht="13.8" spans="1:2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 ht="13.8" spans="1:2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 ht="13.8" spans="1:2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 ht="13.8" spans="1:2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 ht="13.8" spans="1:2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 ht="13.8" spans="1:2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 ht="13.8" spans="1:2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 ht="13.8" spans="1: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 ht="13.8" spans="1:2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 ht="13.8" spans="1:2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 ht="13.8" spans="1:2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 ht="13.8" spans="1:2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 ht="13.8" spans="1:2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 ht="13.8" spans="1:2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 ht="13.8" spans="1:2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 ht="13.8" spans="1:2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 ht="13.8" spans="1:2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 ht="13.8" spans="1:2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 ht="13.8" spans="1:2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 ht="13.8" spans="1:2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 ht="13.8" spans="1:2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 ht="13.8" spans="1:2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 ht="13.8" spans="1:2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 ht="13.8" spans="1:2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 ht="13.8" spans="1:2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 ht="13.8" spans="1:2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 ht="13.8" spans="1:2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 ht="13.8" spans="1:2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 ht="13.8" spans="1:2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 ht="13.8" spans="1:2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 ht="13.8" spans="1:2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 ht="13.8" spans="1:2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 ht="13.8" spans="1:2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 ht="13.8" spans="1:2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 ht="13.8" spans="1:2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 ht="13.8" spans="1:2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 ht="13.8" spans="1:2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 ht="13.8" spans="1:2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 ht="13.8" spans="1:2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 ht="13.8" spans="1:2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 ht="13.8" spans="1:2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 ht="13.8" spans="1:2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 ht="13.8" spans="1:2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 ht="13.8" spans="1:2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 ht="13.8" spans="1:2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 ht="13.8" spans="1:2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 ht="13.8" spans="1:2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 ht="13.8" spans="1:2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ht="13.8" spans="1:2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 ht="13.8" spans="1:2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 ht="13.8" spans="1:2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 ht="13.8" spans="1:2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 ht="13.8" spans="1:2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 ht="13.8" spans="1:2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 ht="13.8" spans="1:2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 ht="13.8" spans="1:2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 ht="13.8" spans="1:2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 ht="13.8" spans="1:2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 ht="13.8" spans="1:2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 ht="13.8" spans="1:2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 ht="13.8" spans="1:2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 ht="13.8" spans="1:2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 ht="13.8" spans="1:2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 ht="13.8" spans="1:2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 ht="13.8" spans="1:2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 ht="13.8" spans="1:2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 ht="13.8" spans="1:2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 ht="13.8" spans="1:2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 ht="13.8" spans="1:2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 ht="13.8" spans="1:2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 ht="13.8" spans="1:2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 ht="13.8" spans="1:2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 ht="13.8" spans="1:2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 ht="13.8" spans="1:2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 ht="13.8" spans="1:2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 ht="13.8" spans="1:2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 ht="13.8" spans="1:2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 ht="13.8" spans="1:2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 ht="13.8" spans="1:2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 ht="13.8" spans="1:2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 ht="13.8" spans="1:2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 ht="13.8" spans="1:2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 ht="13.8" spans="1:2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 ht="13.8" spans="1:2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 ht="13.8" spans="1:2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 ht="13.8" spans="1:2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 ht="13.8" spans="1:2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 ht="13.8" spans="1:2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 ht="13.8" spans="1:2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 ht="13.8" spans="1:2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 ht="13.8" spans="1:2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 ht="13.8" spans="1:2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 ht="13.8" spans="1:2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 ht="13.8" spans="1:2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 ht="13.8" spans="1:2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 ht="13.8" spans="1:2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 ht="13.8" spans="1:2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 ht="13.8" spans="1:2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 ht="13.8" spans="1:2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 ht="13.8" spans="1:2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 ht="13.8" spans="1:2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 ht="13.8" spans="1:2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 ht="13.8" spans="1:2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 ht="13.8" spans="1:2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 ht="13.8" spans="1:2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 ht="13.8" spans="1:2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 ht="13.8" spans="1:2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 ht="13.8" spans="1: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 ht="13.8" spans="1:2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 ht="13.8" spans="1:2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 ht="13.8" spans="1:2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 ht="13.8" spans="1:2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 ht="13.8" spans="1:2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 ht="13.8" spans="1:2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 ht="13.8" spans="1:2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 ht="13.8" spans="1:2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 ht="13.8" spans="1:2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 ht="13.8" spans="1:2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 ht="13.8" spans="1:2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 ht="13.8" spans="1:2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 ht="13.8" spans="1:2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 ht="13.8" spans="1:2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 ht="13.8" spans="1:2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 ht="13.8" spans="1:2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 ht="13.8" spans="1:2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 ht="13.8" spans="1:2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 ht="13.8" spans="1:2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 ht="13.8" spans="1:2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 ht="13.8" spans="1:2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 ht="13.8" spans="1:2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 ht="13.8" spans="1:2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 ht="13.8" spans="1:2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 ht="13.8" spans="1:2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 ht="13.8" spans="1:2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 ht="13.8" spans="1:2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 ht="13.8" spans="1:2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 ht="13.8" spans="1:2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 ht="13.8" spans="1:2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 ht="13.8" spans="1:2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 ht="13.8" spans="1:2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 ht="13.8" spans="1:2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 ht="13.8" spans="1:2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 ht="13.8" spans="1:2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 ht="13.8" spans="1:2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 ht="13.8" spans="1:2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 ht="13.8" spans="1:2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 ht="13.8" spans="1:2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 ht="13.8" spans="1:2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 ht="13.8" spans="1:2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 ht="13.8" spans="1:2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 ht="13.8" spans="1:2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 ht="13.8" spans="1:2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 ht="13.8" spans="1:2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 ht="13.8" spans="1:2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 ht="13.8" spans="1:2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 ht="13.8" spans="1:2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 ht="13.8" spans="1:2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 ht="13.8" spans="1:2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 ht="13.8" spans="1:2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 ht="13.8" spans="1:2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 ht="13.8" spans="1:2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 ht="13.8" spans="1:2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 ht="13.8" spans="1:2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 ht="13.8" spans="1:2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 ht="13.8" spans="1:2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 ht="13.8" spans="1:2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 ht="13.8" spans="1:2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 ht="13.8" spans="1:2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 ht="13.8" spans="1:2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 ht="13.8" spans="1:2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 ht="13.8" spans="1:2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 ht="13.8" spans="1:2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 ht="13.8" spans="1:2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 ht="13.8" spans="1:2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 ht="13.8" spans="1:2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 ht="13.8" spans="1:2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 ht="13.8" spans="1:2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 ht="13.8" spans="1:2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 ht="13.8" spans="1:2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 ht="13.8" spans="1:2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 ht="13.8" spans="1:2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 ht="13.8" spans="1:2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 ht="13.8" spans="1:2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 ht="13.8" spans="1:2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 ht="13.8" spans="1:2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 ht="13.8" spans="1:2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 ht="13.8" spans="1:2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 ht="13.8" spans="1:2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 ht="13.8" spans="1:2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 ht="13.8" spans="1:2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 ht="13.8" spans="1:2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 ht="13.8" spans="1:2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ht="13.8" spans="1:2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ht="13.8" spans="1:2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ht="13.8" spans="1:2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ht="13.8" spans="1:2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ht="13.8" spans="1:2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ht="13.8" spans="1:2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ht="13.8" spans="1:2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ht="13.8" spans="1:2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 ht="13.8" spans="1:2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 ht="13.8" spans="1:2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 ht="13.8" spans="1:2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 ht="13.8" spans="1:2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 ht="13.8" spans="1:2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 ht="13.8" spans="1:2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 ht="13.8" spans="1:2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 ht="13.8" spans="1: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 ht="13.8" spans="1:2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 ht="13.8" spans="1:2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 ht="13.8" spans="1:2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 ht="13.8" spans="1:2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 ht="13.8" spans="1:2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 ht="13.8" spans="1:2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 ht="13.8" spans="1:2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 ht="13.8" spans="1:2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 ht="13.8" spans="1:2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 ht="13.8" spans="1:2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 ht="13.8" spans="1:2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 ht="13.8" spans="1:2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 ht="13.8" spans="1:2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 ht="13.8" spans="1:2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 ht="13.8" spans="1:2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 ht="13.8" spans="1:2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 ht="13.8" spans="1:2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 ht="13.8" spans="1:2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 ht="13.8" spans="1:2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 ht="13.8" spans="1:2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 ht="13.8" spans="1:2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 ht="13.8" spans="1:2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 ht="13.8" spans="1:2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 ht="13.8" spans="1:2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 ht="13.8" spans="1:2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 ht="13.8" spans="1:2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 ht="13.8" spans="1:2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 ht="13.8" spans="1:2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 ht="13.8" spans="1:2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 ht="13.8" spans="1:2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 ht="13.8" spans="1:2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 ht="13.8" spans="1:2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 ht="13.8" spans="1:2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 ht="13.8" spans="1:2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 ht="13.8" spans="1:2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 ht="13.8" spans="1:2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 ht="13.8" spans="1:2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 ht="13.8" spans="1:2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 ht="13.8" spans="1:2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 ht="13.8" spans="1:2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 ht="13.8" spans="1:2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 ht="13.8" spans="1:2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</row>
    <row r="666" ht="13.8" spans="1:2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</row>
    <row r="667" ht="13.8" spans="1:2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</row>
    <row r="668" ht="13.8" spans="1:2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</row>
    <row r="669" ht="13.8" spans="1:2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</row>
    <row r="670" ht="13.8" spans="1:2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</row>
    <row r="671" ht="13.8" spans="1:2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</row>
    <row r="672" ht="13.8" spans="1:2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</row>
    <row r="673" ht="13.8" spans="1:2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</row>
    <row r="674" ht="13.8" spans="1:2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</row>
    <row r="675" ht="13.8" spans="1:2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</row>
    <row r="676" ht="13.8" spans="1:2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</row>
    <row r="677" ht="13.8" spans="1:2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</row>
    <row r="678" ht="13.8" spans="1:2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</row>
    <row r="679" ht="13.8" spans="1:2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</row>
    <row r="680" ht="13.8" spans="1:2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</row>
    <row r="681" ht="13.8" spans="1:2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</row>
    <row r="682" ht="13.8" spans="1:2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</row>
    <row r="683" ht="13.8" spans="1:2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</row>
    <row r="684" ht="13.8" spans="1:2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</row>
    <row r="685" ht="13.8" spans="1:2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</row>
    <row r="686" ht="13.8" spans="1:2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</row>
    <row r="687" ht="13.8" spans="1:2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</row>
    <row r="688" ht="13.8" spans="1:2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</row>
    <row r="689" ht="13.8" spans="1:2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</row>
    <row r="690" ht="13.8" spans="1:2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</row>
    <row r="691" ht="13.8" spans="1:2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</row>
    <row r="692" ht="13.8" spans="1:2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</row>
    <row r="693" ht="13.8" spans="1:2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</row>
    <row r="694" ht="13.8" spans="1:2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</row>
    <row r="695" ht="13.8" spans="1:2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</row>
    <row r="696" ht="13.8" spans="1:2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</row>
    <row r="697" ht="13.8" spans="1:2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</row>
    <row r="698" ht="13.8" spans="1:2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</row>
    <row r="699" ht="13.8" spans="1:2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</row>
    <row r="700" ht="13.8" spans="1:2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</row>
    <row r="701" ht="13.8" spans="1:2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</row>
    <row r="702" ht="13.8" spans="1:2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</row>
    <row r="703" ht="13.8" spans="1:2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</row>
    <row r="704" ht="13.8" spans="1:2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</row>
    <row r="705" ht="13.8" spans="1:2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</row>
    <row r="706" ht="13.8" spans="1:2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</row>
    <row r="707" ht="13.8" spans="1:2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</row>
    <row r="708" ht="13.8" spans="1:2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</row>
    <row r="709" ht="13.8" spans="1:2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</row>
    <row r="710" ht="13.8" spans="1:2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</row>
    <row r="711" ht="13.8" spans="1:2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</row>
    <row r="712" ht="13.8" spans="1:2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</row>
    <row r="713" ht="13.8" spans="1:2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</row>
    <row r="714" ht="13.8" spans="1:2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</row>
    <row r="715" ht="13.8" spans="1:2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</row>
    <row r="716" ht="13.8" spans="1:2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</row>
    <row r="717" ht="13.8" spans="1:2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</row>
    <row r="718" ht="13.8" spans="1:2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</row>
    <row r="719" ht="13.8" spans="1:2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</row>
    <row r="720" ht="13.8" spans="1:2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</row>
    <row r="721" ht="13.8" spans="1:2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</row>
    <row r="722" ht="13.8" spans="1:2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</row>
    <row r="723" ht="13.8" spans="1: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</row>
    <row r="724" ht="13.8" spans="1:2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</row>
    <row r="725" ht="13.8" spans="1:2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</row>
    <row r="726" ht="13.8" spans="1:2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</row>
    <row r="727" ht="13.8" spans="1:2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</row>
    <row r="728" ht="13.8" spans="1:2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</row>
    <row r="729" ht="13.8" spans="1:2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</row>
    <row r="730" ht="13.8" spans="1:2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</row>
    <row r="731" ht="13.8" spans="1:2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</row>
    <row r="732" ht="13.8" spans="1:2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</row>
    <row r="733" ht="13.8" spans="1:2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</row>
    <row r="734" ht="13.8" spans="1:2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</row>
    <row r="735" ht="13.8" spans="1:2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</row>
    <row r="736" ht="13.8" spans="1:2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</row>
    <row r="737" ht="13.8" spans="1:2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</row>
    <row r="738" ht="13.8" spans="1:2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</row>
    <row r="739" ht="13.8" spans="1:2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</row>
    <row r="740" ht="13.8" spans="1:2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</row>
    <row r="741" ht="13.8" spans="1:2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</row>
    <row r="742" ht="13.8" spans="1:2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</row>
    <row r="743" ht="13.8" spans="1:2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</row>
    <row r="744" ht="13.8" spans="1:2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</row>
    <row r="745" ht="13.8" spans="1:2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</row>
    <row r="746" ht="13.8" spans="1:2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</row>
    <row r="747" ht="13.8" spans="1:2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</row>
    <row r="748" ht="13.8" spans="1:2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</row>
    <row r="749" ht="13.8" spans="1:2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</row>
    <row r="750" ht="13.8" spans="1:2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</row>
    <row r="751" ht="13.8" spans="1:2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</row>
    <row r="752" ht="13.8" spans="1:2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</row>
    <row r="753" ht="13.8" spans="1:2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</row>
    <row r="754" ht="13.8" spans="1:2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</row>
    <row r="755" ht="13.8" spans="1:2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</row>
    <row r="756" ht="13.8" spans="1:2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</row>
    <row r="757" ht="13.8" spans="1:2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</row>
    <row r="758" ht="13.8" spans="1:2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</row>
    <row r="759" ht="13.8" spans="1:2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</row>
    <row r="760" ht="13.8" spans="1:2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</row>
    <row r="761" ht="13.8" spans="1:2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</row>
    <row r="762" ht="13.8" spans="1:2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</row>
    <row r="763" ht="13.8" spans="1:2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</row>
    <row r="764" ht="13.8" spans="1:2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</row>
    <row r="765" ht="13.8" spans="1:2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</row>
    <row r="766" ht="13.8" spans="1:2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</row>
    <row r="767" ht="13.8" spans="1:2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</row>
    <row r="768" ht="13.8" spans="1:2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</row>
    <row r="769" ht="13.8" spans="1:2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</row>
    <row r="770" ht="13.8" spans="1:2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</row>
    <row r="771" ht="13.8" spans="1:2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</row>
    <row r="772" ht="13.8" spans="1:2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</row>
    <row r="773" ht="13.8" spans="1:2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</row>
    <row r="774" ht="13.8" spans="1:2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</row>
    <row r="775" ht="13.8" spans="1:2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</row>
    <row r="776" ht="13.8" spans="1:2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</row>
    <row r="777" ht="13.8" spans="1:2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</row>
    <row r="778" ht="13.8" spans="1:2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</row>
    <row r="779" ht="13.8" spans="1:2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</row>
    <row r="780" ht="13.8" spans="1:2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</row>
    <row r="781" ht="13.8" spans="1:2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</row>
    <row r="782" ht="13.8" spans="1:2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</row>
    <row r="783" ht="13.8" spans="1:2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</row>
    <row r="784" ht="13.8" spans="1:2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</row>
    <row r="785" ht="13.8" spans="1:2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</row>
    <row r="786" ht="13.8" spans="1:2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</row>
    <row r="787" ht="13.8" spans="1:2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</row>
    <row r="788" ht="13.8" spans="1:2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</row>
    <row r="789" ht="13.8" spans="1:2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</row>
    <row r="790" ht="13.8" spans="1:2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</row>
    <row r="791" ht="13.8" spans="1:2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</row>
    <row r="792" ht="13.8" spans="1:2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</row>
    <row r="793" ht="13.8" spans="1:2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</row>
    <row r="794" ht="13.8" spans="1:2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</row>
    <row r="795" ht="13.8" spans="1:2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</row>
    <row r="796" ht="13.8" spans="1:2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</row>
    <row r="797" ht="13.8" spans="1:2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</row>
    <row r="798" ht="13.8" spans="1:2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</row>
    <row r="799" ht="13.8" spans="1:2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</row>
    <row r="800" ht="13.8" spans="1:2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</row>
    <row r="801" ht="13.8" spans="1:2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</row>
    <row r="802" ht="13.8" spans="1:2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</row>
    <row r="803" ht="13.8" spans="1:2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</row>
    <row r="804" ht="13.8" spans="1:2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</row>
    <row r="805" ht="13.8" spans="1:2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</row>
    <row r="806" ht="13.8" spans="1:2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</row>
    <row r="807" ht="13.8" spans="1:2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</row>
    <row r="808" ht="13.8" spans="1:2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</row>
    <row r="809" ht="13.8" spans="1:2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</row>
    <row r="810" ht="13.8" spans="1:2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</row>
    <row r="811" ht="13.8" spans="1:2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</row>
    <row r="812" ht="13.8" spans="1:2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</row>
    <row r="813" ht="13.8" spans="1:2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</row>
    <row r="814" ht="13.8" spans="1:2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</row>
    <row r="815" ht="13.8" spans="1:2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</row>
    <row r="816" ht="13.8" spans="1:2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</row>
    <row r="817" ht="13.8" spans="1:2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</row>
    <row r="818" ht="13.8" spans="1:2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</row>
    <row r="819" ht="13.8" spans="1:2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</row>
    <row r="820" ht="13.8" spans="1:2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</row>
    <row r="821" ht="13.8" spans="1:2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</row>
    <row r="822" ht="13.8" spans="1:2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</row>
    <row r="823" ht="13.8" spans="1: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</row>
    <row r="824" ht="13.8" spans="1:2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</row>
    <row r="825" ht="13.8" spans="1:2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</row>
    <row r="826" ht="13.8" spans="1:2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</row>
    <row r="827" ht="13.8" spans="1:2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</row>
    <row r="828" ht="13.8" spans="1:2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</row>
    <row r="829" ht="13.8" spans="1:2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</row>
    <row r="830" ht="13.8" spans="1:2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</row>
    <row r="831" ht="13.8" spans="1:2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</row>
    <row r="832" ht="13.8" spans="1:2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</row>
    <row r="833" ht="13.8" spans="1:2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</row>
    <row r="834" ht="13.8" spans="1:2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</row>
    <row r="835" ht="13.8" spans="1:2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</row>
    <row r="836" ht="13.8" spans="1:2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</row>
    <row r="837" ht="13.8" spans="1:2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</row>
    <row r="838" ht="13.8" spans="1:2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</row>
    <row r="839" ht="13.8" spans="1:2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</row>
    <row r="840" ht="13.8" spans="1:2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</row>
    <row r="841" ht="13.8" spans="1:2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</row>
    <row r="842" ht="13.8" spans="1:2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</row>
    <row r="843" ht="13.8" spans="1:2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</row>
    <row r="844" ht="13.8" spans="1:2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</row>
    <row r="845" ht="13.8" spans="1:2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</row>
    <row r="846" ht="13.8" spans="1:2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</row>
    <row r="847" ht="13.8" spans="1:2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</row>
    <row r="848" ht="13.8" spans="1:2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</row>
    <row r="849" ht="13.8" spans="1:2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</row>
    <row r="850" ht="13.8" spans="1:2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</row>
    <row r="851" ht="13.8" spans="1:2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</row>
    <row r="852" ht="13.8" spans="1:2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</row>
    <row r="853" ht="13.8" spans="1:2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</row>
    <row r="854" ht="13.8" spans="1:2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</row>
    <row r="855" ht="13.8" spans="1:2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</row>
    <row r="856" ht="13.8" spans="1:2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</row>
    <row r="857" ht="13.8" spans="1:2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</row>
    <row r="858" ht="13.8" spans="1:2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</row>
    <row r="859" ht="13.8" spans="1:2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</row>
    <row r="860" ht="13.8" spans="1:2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</row>
    <row r="861" ht="13.8" spans="1:2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</row>
    <row r="862" ht="13.8" spans="1:2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</row>
    <row r="863" ht="13.8" spans="1:2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</row>
    <row r="864" ht="13.8" spans="1:2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</row>
    <row r="865" ht="13.8" spans="1:2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</row>
    <row r="866" ht="13.8" spans="1:2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</row>
    <row r="867" ht="13.8" spans="1:2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</row>
    <row r="868" ht="13.8" spans="1:2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</row>
    <row r="869" ht="13.8" spans="1:2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</row>
    <row r="870" ht="13.8" spans="1:2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</row>
    <row r="871" ht="13.8" spans="1:2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</row>
    <row r="872" ht="13.8" spans="1:2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</row>
    <row r="873" ht="13.8" spans="1:2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</row>
    <row r="874" ht="13.8" spans="1:2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</row>
    <row r="875" ht="13.8" spans="1:2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</row>
    <row r="876" ht="13.8" spans="1:2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</row>
    <row r="877" ht="13.8" spans="1:2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</row>
    <row r="878" ht="13.8" spans="1:2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</row>
    <row r="879" ht="13.8" spans="1:2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</row>
    <row r="880" ht="13.8" spans="1:2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</row>
    <row r="881" ht="13.8" spans="1:2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</row>
    <row r="882" ht="13.8" spans="1:2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</row>
    <row r="883" ht="13.8" spans="1:2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</row>
    <row r="884" ht="13.8" spans="1:2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</row>
    <row r="885" ht="13.8" spans="1:2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</row>
    <row r="886" ht="13.8" spans="1:2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</row>
    <row r="887" ht="13.8" spans="1:2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</row>
    <row r="888" ht="13.8" spans="1:2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</row>
    <row r="889" ht="13.8" spans="1:2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</row>
    <row r="890" ht="13.8" spans="1:2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</row>
    <row r="891" ht="13.8" spans="1:2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</row>
    <row r="892" ht="13.8" spans="1:2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</row>
    <row r="893" ht="13.8" spans="1:2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</row>
    <row r="894" ht="13.8" spans="1:2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</row>
    <row r="895" ht="13.8" spans="1:2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</row>
    <row r="896" ht="13.8" spans="1:2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</row>
    <row r="897" ht="13.8" spans="1:2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</row>
    <row r="898" ht="13.8" spans="1:2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</row>
    <row r="899" ht="13.8" spans="1:2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</row>
    <row r="900" ht="13.8" spans="1:2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</row>
    <row r="901" ht="13.8" spans="1:2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</row>
    <row r="902" ht="13.8" spans="1:2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</row>
    <row r="903" ht="13.8" spans="1:2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</row>
    <row r="904" ht="13.8" spans="1:2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</row>
    <row r="905" ht="13.8" spans="1:2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</row>
    <row r="906" ht="13.8" spans="1:2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</row>
    <row r="907" ht="13.8" spans="1:2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</row>
    <row r="908" ht="13.8" spans="1:2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</row>
    <row r="909" ht="13.8" spans="1:2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</row>
    <row r="910" ht="13.8" spans="1:2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</row>
    <row r="911" ht="13.8" spans="1:2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</row>
    <row r="912" ht="13.8" spans="1:2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</row>
    <row r="913" ht="13.8" spans="1:2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</row>
    <row r="914" ht="13.8" spans="1:2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</row>
    <row r="915" ht="13.8" spans="1:2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</row>
    <row r="916" ht="13.8" spans="1:2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</row>
    <row r="917" ht="13.8" spans="1:2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</row>
    <row r="918" ht="13.8" spans="1:2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</row>
    <row r="919" ht="13.8" spans="1:2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</row>
    <row r="920" ht="13.8" spans="1:2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</row>
    <row r="921" ht="13.8" spans="1:2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</row>
    <row r="922" ht="13.8" spans="1:2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</row>
    <row r="923" ht="13.8" spans="1: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</row>
    <row r="924" ht="13.8" spans="1:2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</row>
    <row r="925" ht="13.8" spans="1:2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</row>
    <row r="926" ht="13.8" spans="1:2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</row>
    <row r="927" ht="13.8" spans="1:2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</row>
    <row r="928" ht="13.8" spans="1:2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</row>
    <row r="929" ht="13.8" spans="1:2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</row>
    <row r="930" ht="13.8" spans="1:2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</row>
    <row r="931" ht="13.8" spans="1:2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</row>
    <row r="932" ht="13.8" spans="1:2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</row>
    <row r="933" ht="13.8" spans="1:2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</row>
    <row r="934" ht="13.8" spans="1:2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</row>
    <row r="935" ht="13.8" spans="1:2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</row>
    <row r="936" ht="13.8" spans="1:2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</row>
    <row r="937" ht="13.8" spans="1:2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</row>
    <row r="938" ht="13.8" spans="1:2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</row>
    <row r="939" ht="13.8" spans="1:2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</row>
    <row r="940" ht="13.8" spans="1:2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</row>
    <row r="941" ht="13.8" spans="1:2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</row>
    <row r="942" ht="13.8" spans="1:2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</row>
    <row r="943" ht="13.8" spans="1:2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</row>
    <row r="944" ht="13.8" spans="1:2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</row>
    <row r="945" ht="13.8" spans="1:2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</row>
    <row r="946" ht="13.8" spans="1:2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</row>
    <row r="947" ht="13.8" spans="1:2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</row>
    <row r="948" ht="13.8" spans="1:2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</row>
    <row r="949" ht="13.8" spans="1:2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</row>
    <row r="950" ht="13.8" spans="1:2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</row>
    <row r="951" ht="13.8" spans="1:2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</row>
    <row r="952" ht="13.8" spans="1:2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</row>
  </sheetData>
  <autoFilter xmlns:etc="http://www.wps.cn/officeDocument/2017/etCustomData" ref="A1:W145" etc:filterBottomFollowUsedRange="0">
    <sortState ref="A1:W145">
      <sortCondition ref="W1:W145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Elektronik Tablolar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2-8 Şubat Hakediş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Kovala</cp:lastModifiedBy>
  <dcterms:created xsi:type="dcterms:W3CDTF">2026-02-12T00:01:22Z</dcterms:created>
  <dcterms:modified xsi:type="dcterms:W3CDTF">2026-02-12T00:02:43Z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F286EA8AC6EE4D14BFB80C852953CE0B_12</vt:lpwstr>
  </property>
  <property fmtid="{D5CDD505-2E9C-101B-9397-08002B2CF9AE}" pid="3" name="KSOProductBuildVer">
    <vt:lpwstr>1055-12.2.0.22549</vt:lpwstr>
  </property>
</Properties>
</file>